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medianas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<sst xmlns="http://schemas.openxmlformats.org/spreadsheetml/2006/main" count="718" uniqueCount="61">
  <si>
    <t xml:space="preserve"> </t>
  </si>
  <si>
    <t xml:space="preserve">Ejecuciones 6 Meses</t>
  </si>
  <si>
    <t xml:space="preserve">Ejecuciones 12 Meses</t>
  </si>
  <si>
    <t xml:space="preserve">Ejecuciones 24 Meses</t>
  </si>
  <si>
    <t xml:space="preserve">Total de Personal</t>
  </si>
  <si>
    <t xml:space="preserve">Call:</t>
  </si>
  <si>
    <t xml:space="preserve">   felm(formula = personal_total_month ~ ejecuciones_</t>
  </si>
  <si>
    <t xml:space="preserve"> Meses | absMes +      municipio_Estado + empresaID</t>
  </si>
  <si>
    <t xml:space="preserve"> data = data) </t>
  </si>
  <si>
    <t xml:space="preserve">Coefficients:</t>
  </si>
  <si>
    <t xml:space="preserve">Obreros Totales</t>
  </si>
  <si>
    <t xml:space="preserve">                    Estimate Std. Error t value Pr( |t|)</t>
  </si>
  <si>
    <t xml:space="preserve">ejecuciones_</t>
  </si>
  <si>
    <t xml:space="preserve"> Meses </t>
  </si>
  <si>
    <t xml:space="preserve">    </t>
  </si>
  <si>
    <t xml:space="preserve">   </t>
  </si>
  <si>
    <t xml:space="preserve">     </t>
  </si>
  <si>
    <t xml:space="preserve">DF:  </t>
  </si>
  <si>
    <t xml:space="preserve">Empleados Totales</t>
  </si>
  <si>
    <t xml:space="preserve">Adjusted R-squared:  </t>
  </si>
  <si>
    <t xml:space="preserve">  </t>
  </si>
  <si>
    <t xml:space="preserve">Total de horas trabajadas</t>
  </si>
  <si>
    <t xml:space="preserve">Total de horas trabajadas por Obreros</t>
  </si>
  <si>
    <t xml:space="preserve">   felm(formula = obreros_totales_month ~ ejecuciones_</t>
  </si>
  <si>
    <t xml:space="preserve">Total de horas trabajadas por Empleados</t>
  </si>
  <si>
    <t xml:space="preserve">      </t>
  </si>
  <si>
    <t xml:space="preserve">Total de remuneraciones</t>
  </si>
  <si>
    <t xml:space="preserve">Total de salario percibido por obreros</t>
  </si>
  <si>
    <t xml:space="preserve">   felm(formula = empleados_totales_month ~ ejecuciones_</t>
  </si>
  <si>
    <t xml:space="preserve"> Meses |      absMes + municipio_Estado + empresaID</t>
  </si>
  <si>
    <t xml:space="preserve">Total de salario percibido por empleados </t>
  </si>
  <si>
    <t xml:space="preserve">                    Estimate Std. Error t value Pr( |t|)   </t>
  </si>
  <si>
    <t xml:space="preserve">  **</t>
  </si>
  <si>
    <t xml:space="preserve">Cantidad de la Produccion</t>
  </si>
  <si>
    <t xml:space="preserve">Valor de la producción</t>
  </si>
  <si>
    <t xml:space="preserve">Cantidad de las Ventas</t>
  </si>
  <si>
    <t xml:space="preserve">   felm(formula = horas_personal_total_month ~ ejecuciones_</t>
  </si>
  <si>
    <t xml:space="preserve">Valor de las ventas netas</t>
  </si>
  <si>
    <t xml:space="preserve">                     Estimate Std. Error t value Pr( |t|)</t>
  </si>
  <si>
    <t xml:space="preserve">Signif. codes:  0 ‘***’ 0.001 ‘**’ 0.01 ‘*’ 0.05 ‘+’ 0.1 ‘ ’ 1
</t>
  </si>
  <si>
    <t xml:space="preserve">   felm(formula = horas_obreros_month ~ ejecuciones_</t>
  </si>
  <si>
    <t xml:space="preserve">   felm(formula = horas_empleados_month ~ ejecuciones_</t>
  </si>
  <si>
    <t xml:space="preserve">                     Estimate Std. Error t value Pr( |t|)   </t>
  </si>
  <si>
    <t xml:space="preserve">   felm(formula = remuneraciones_month ~ ejecuciones_</t>
  </si>
  <si>
    <t xml:space="preserve">                   Estimate Std. Error t value Pr( |t|)</t>
  </si>
  <si>
    <t xml:space="preserve">   felm(formula = salario_obreros_month ~ ejecuciones_</t>
  </si>
  <si>
    <t xml:space="preserve">   felm(formula = salario_empleados_month ~ ejecuciones_</t>
  </si>
  <si>
    <t xml:space="preserve">   felm(formula = cantidad_produccion_month ~ ejecuciones_</t>
  </si>
  <si>
    <t xml:space="preserve"> Meses   </t>
  </si>
  <si>
    <t xml:space="preserve">       </t>
  </si>
  <si>
    <t xml:space="preserve">   felm(formula = valor_produccion_month ~ ejecuciones_</t>
  </si>
  <si>
    <t xml:space="preserve"> Meses  </t>
  </si>
  <si>
    <t xml:space="preserve">   felm(formula = cantidad_ventas_month ~ ejecuciones_</t>
  </si>
  <si>
    <t xml:space="preserve">   felm(formula = valor_ventas_netas_month ~ ejecuciones_</t>
  </si>
  <si>
    <t xml:space="preserve">                      Estimate Std. Error t value Pr( |t|)  </t>
  </si>
  <si>
    <t xml:space="preserve">                      Estimate Std. Error t value Pr( |t|)</t>
  </si>
  <si>
    <t xml:space="preserve"> Meses    </t>
  </si>
  <si>
    <t xml:space="preserve">Adjusted R-squared:   </t>
  </si>
  <si>
    <t xml:space="preserve">                     Estimate Std. Error t value Pr( |t|)  </t>
  </si>
  <si>
    <t xml:space="preserve">  *</t>
  </si>
  <si>
    <t xml:space="preserve">                    Estimate Std. Error t value Pr( |t|)  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</si>
</sst>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9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0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9" xfId="0" applyFont="true" applyBorder="true" applyAlignment="true" applyProtection="false">
      <alignment horizontal="right" vertical="top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431"/>
  <sheetViews>
    <sheetView windowProtection="false" showFormulas="false" showGridLines="true" showRowColHeaders="true" showZeros="true" rightToLeft="false" tabSelected="true" showOutlineSymbols="true" defaultGridColor="true" view="normal" topLeftCell="B431" colorId="64" zoomScale="85" zoomScaleNormal="85" zoomScalePageLayoutView="100" workbookViewId="0">
      <selection pane="topLeft" activeCell="H463" activeCellId="0" sqref="H463"/>
    </sheetView>
  </sheetViews>
  <sheetFormatPr defaultRowHeight="12.8"/>
  <cols>
    <col collapsed="false" hidden="false" max="1" min="1" style="0" width="41.8673469387755"/>
    <col collapsed="false" hidden="false" max="2" min="2" style="0" width="7.95408163265306"/>
    <col collapsed="false" hidden="false" max="3" min="3" style="0" width="45.7551020408163"/>
    <col collapsed="false" hidden="false" max="4" min="4" style="0" width="12.4081632653061"/>
    <col collapsed="false" hidden="false" max="5" min="5" style="0" width="5.46428571428571"/>
    <col collapsed="false" hidden="false" max="6" min="6" style="0" width="9.90816326530612"/>
    <col collapsed="false" hidden="false" max="7" min="7" style="0" width="4.3469387755102"/>
    <col collapsed="false" hidden="false" max="8" min="8" style="0" width="6.01020408163265"/>
    <col collapsed="false" hidden="false" max="9" min="9" style="0" width="4.9030612244898"/>
    <col collapsed="false" hidden="false" max="10" min="10" style="0" width="7.95408163265306"/>
    <col collapsed="false" hidden="false" max="11" min="11" style="0" width="4.06632653061225"/>
    <col collapsed="false" hidden="false" max="1025" min="12" style="0" width="11.5204081632653"/>
  </cols>
  <sheetData>
    <row r="1" customFormat="false" ht="12.8" hidden="false" customHeight="false" outlineLevel="0" collapsed="false">
      <c r="A1" s="0" t="s">
        <v>0</v>
      </c>
    </row>
    <row r="3" customFormat="false" ht="29.1" hidden="false" customHeight="true" outlineLevel="0" collapsed="false">
      <c r="L3" s="1"/>
      <c r="M3" s="2" t="s">
        <v>1</v>
      </c>
      <c r="N3" s="2"/>
      <c r="O3" s="2" t="s">
        <v>2</v>
      </c>
      <c r="P3" s="2"/>
      <c r="Q3" s="2" t="s">
        <v>3</v>
      </c>
      <c r="R3" s="2"/>
    </row>
    <row r="4" customFormat="false" ht="12.8" hidden="false" customHeight="true" outlineLevel="0" collapsed="false">
      <c r="L4" s="3" t="s">
        <v>4</v>
      </c>
      <c r="M4" s="4" t="str">
        <f aca="false">CONCATENATE($D$9,$K$9)</f>
        <v>0.004739 </v>
      </c>
      <c r="N4" s="4"/>
      <c r="O4" s="4" t="str">
        <f aca="false">CONCATENATE($D$152,$K$152)</f>
        <v>0.004117 </v>
      </c>
      <c r="P4" s="4"/>
      <c r="Q4" s="4" t="str">
        <f aca="false">CONCATENATE($D$295,$K$295)</f>
        <v>0.004514  *</v>
      </c>
      <c r="R4" s="4"/>
    </row>
    <row r="5" customFormat="false" ht="12.8" hidden="false" customHeight="false" outlineLevel="0" collapsed="false">
      <c r="A5" s="0" t="s">
        <v>5</v>
      </c>
      <c r="L5" s="3"/>
      <c r="M5" s="5" t="str">
        <f aca="false">CONCATENATE( "( ", $F$9, " )" )</f>
        <v>( 0.004889 )</v>
      </c>
      <c r="N5" s="5"/>
      <c r="O5" s="5" t="str">
        <f aca="false">CONCATENATE("( ",$F$152," )")</f>
        <v>( 0.002752 )</v>
      </c>
      <c r="P5" s="5"/>
      <c r="Q5" s="5" t="str">
        <f aca="false">CONCATENATE("( ",$F$295," )")</f>
        <v>( 0.002172 )</v>
      </c>
      <c r="R5" s="5"/>
    </row>
    <row r="6" customFormat="false" ht="12.8" hidden="false" customHeight="false" outlineLevel="0" collapsed="false">
      <c r="A6" s="0" t="s">
        <v>6</v>
      </c>
      <c r="B6" s="0" t="n">
        <v>6</v>
      </c>
      <c r="C6" s="0" t="s">
        <v>7</v>
      </c>
      <c r="D6" s="0" t="s">
        <v>8</v>
      </c>
      <c r="L6" s="3"/>
      <c r="M6" s="6" t="str">
        <f aca="false">CONCATENATE("DF: ", $B$10)</f>
        <v>DF: 92204</v>
      </c>
      <c r="N6" s="7" t="str">
        <f aca="false">CONCATENATE("R2: ", $B$11)</f>
        <v>R2: 0.9736</v>
      </c>
      <c r="O6" s="6" t="str">
        <f aca="false">CONCATENATE("DF: ", $B$153)</f>
        <v>DF: 81165</v>
      </c>
      <c r="P6" s="7" t="str">
        <f aca="false">CONCATENATE("R2: ", $B$154)</f>
        <v>R2: 0.9778</v>
      </c>
      <c r="Q6" s="6" t="str">
        <f aca="false">CONCATENATE("DF: ", $B$296)</f>
        <v>DF: 54476</v>
      </c>
      <c r="R6" s="7" t="str">
        <f aca="false">CONCATENATE("R2: ", $B$297)</f>
        <v>R2: 0.9838</v>
      </c>
    </row>
    <row r="7" customFormat="false" ht="12.8" hidden="false" customHeight="true" outlineLevel="0" collapsed="false">
      <c r="A7" s="0" t="s">
        <v>9</v>
      </c>
      <c r="L7" s="8" t="s">
        <v>10</v>
      </c>
      <c r="M7" s="4" t="str">
        <f aca="false">CONCATENATE($D$20,$K$20)</f>
        <v>0.0006918 </v>
      </c>
      <c r="N7" s="4"/>
      <c r="O7" s="4" t="str">
        <f aca="false">CONCATENATE($D$163,$K$163)</f>
        <v>0.002975 </v>
      </c>
      <c r="P7" s="4"/>
      <c r="Q7" s="4" t="str">
        <f aca="false">CONCATENATE($D$306,$K$306)</f>
        <v>0.003530</v>
      </c>
      <c r="R7" s="4"/>
    </row>
    <row r="8" customFormat="false" ht="12.8" hidden="false" customHeight="false" outlineLevel="0" collapsed="false">
      <c r="A8" s="0" t="s">
        <v>11</v>
      </c>
      <c r="L8" s="8"/>
      <c r="M8" s="5" t="str">
        <f aca="false">CONCATENATE( "(", $F$20, ")" )</f>
        <v>(0.003915)</v>
      </c>
      <c r="N8" s="5"/>
      <c r="O8" s="5" t="str">
        <f aca="false">CONCATENATE("( ",$F$163," )")</f>
        <v>( 0.00229 )</v>
      </c>
      <c r="P8" s="5"/>
      <c r="Q8" s="5" t="str">
        <f aca="false">CONCATENATE("( ",$F$306," )")</f>
        <v>( 0.001929 )</v>
      </c>
      <c r="R8" s="5"/>
    </row>
    <row r="9" customFormat="false" ht="12.8" hidden="false" customHeight="false" outlineLevel="0" collapsed="false">
      <c r="A9" s="0" t="s">
        <v>12</v>
      </c>
      <c r="B9" s="0" t="n">
        <v>6</v>
      </c>
      <c r="C9" s="0" t="s">
        <v>13</v>
      </c>
      <c r="D9" s="0" t="n">
        <v>0.004739</v>
      </c>
      <c r="E9" s="0" t="s">
        <v>14</v>
      </c>
      <c r="F9" s="0" t="n">
        <v>0.004889</v>
      </c>
      <c r="G9" s="0" t="s">
        <v>15</v>
      </c>
      <c r="H9" s="0" t="n">
        <v>0.969</v>
      </c>
      <c r="I9" s="0" t="s">
        <v>16</v>
      </c>
      <c r="J9" s="0" t="n">
        <v>0.332</v>
      </c>
      <c r="K9" s="0" t="s">
        <v>0</v>
      </c>
      <c r="L9" s="8"/>
      <c r="M9" s="6" t="str">
        <f aca="false">CONCATENATE("DF: ", $B$10)</f>
        <v>DF: 92204</v>
      </c>
      <c r="N9" s="7" t="str">
        <f aca="false">CONCATENATE("R2: ", $B$22)</f>
        <v>R2: 0.9677</v>
      </c>
      <c r="O9" s="6" t="str">
        <f aca="false">CONCATENATE("DF: ", $B$153)</f>
        <v>DF: 81165</v>
      </c>
      <c r="P9" s="7" t="str">
        <f aca="false">CONCATENATE("R2: ", $B$165)</f>
        <v>R2: 0.9709</v>
      </c>
      <c r="Q9" s="6" t="str">
        <f aca="false">CONCATENATE("DF: ", $B$296)</f>
        <v>DF: 54476</v>
      </c>
      <c r="R9" s="7" t="str">
        <f aca="false">CONCATENATE("R2: ", $B$308)</f>
        <v>R2: 0.976</v>
      </c>
    </row>
    <row r="10" customFormat="false" ht="12.8" hidden="false" customHeight="true" outlineLevel="0" collapsed="false">
      <c r="A10" s="0" t="s">
        <v>17</v>
      </c>
      <c r="B10" s="0" t="n">
        <v>92204</v>
      </c>
      <c r="C10" s="0" t="s">
        <v>15</v>
      </c>
      <c r="L10" s="9" t="s">
        <v>18</v>
      </c>
      <c r="M10" s="4" t="str">
        <f aca="false">CONCATENATE($D$31,$K$31)</f>
        <v>0.005431  **</v>
      </c>
      <c r="N10" s="4"/>
      <c r="O10" s="4" t="str">
        <f aca="false">CONCATENATE($F$174,$K$174)</f>
        <v>0.001025 </v>
      </c>
      <c r="P10" s="4"/>
      <c r="Q10" s="4" t="str">
        <f aca="false">CONCATENATE($D$317,$K$317)</f>
        <v>0.00098430</v>
      </c>
      <c r="R10" s="4"/>
    </row>
    <row r="11" customFormat="false" ht="12.8" hidden="false" customHeight="false" outlineLevel="0" collapsed="false">
      <c r="A11" s="0" t="s">
        <v>19</v>
      </c>
      <c r="B11" s="0" t="n">
        <v>0.9736</v>
      </c>
      <c r="C11" s="0" t="s">
        <v>20</v>
      </c>
      <c r="L11" s="9"/>
      <c r="M11" s="5" t="str">
        <f aca="false">CONCATENATE( "( ", $F$31, " )" )</f>
        <v>( 0.002098 )</v>
      </c>
      <c r="N11" s="5"/>
      <c r="O11" s="5" t="str">
        <f aca="false">CONCATENATE("( ",$F$174," )")</f>
        <v>( 0.001025 )</v>
      </c>
      <c r="P11" s="5"/>
      <c r="Q11" s="5" t="str">
        <f aca="false">CONCATENATE("( ",$F$317," )")</f>
        <v>( 0.0005958 )</v>
      </c>
      <c r="R11" s="5"/>
    </row>
    <row r="12" customFormat="false" ht="12.8" hidden="false" customHeight="false" outlineLevel="0" collapsed="false">
      <c r="A12" s="0" t="s">
        <v>19</v>
      </c>
      <c r="B12" s="0" t="n">
        <v>0.0277</v>
      </c>
      <c r="C12" s="0" t="s">
        <v>20</v>
      </c>
      <c r="L12" s="9"/>
      <c r="M12" s="6" t="str">
        <f aca="false">CONCATENATE("DF: ", $B$10)</f>
        <v>DF: 92204</v>
      </c>
      <c r="N12" s="7" t="str">
        <f aca="false">CONCATENATE("R2: ", $B$33)</f>
        <v>R2: 0.9705</v>
      </c>
      <c r="O12" s="6" t="str">
        <f aca="false">CONCATENATE("DF: ", $B$153)</f>
        <v>DF: 81165</v>
      </c>
      <c r="P12" s="7" t="str">
        <f aca="false">CONCATENATE("R2: ", $B$176)</f>
        <v>R2: 0.9808</v>
      </c>
      <c r="Q12" s="6" t="str">
        <f aca="false">CONCATENATE("DF: ", $B$296)</f>
        <v>DF: 54476</v>
      </c>
      <c r="R12" s="7" t="str">
        <f aca="false">CONCATENATE("R2: ", $B$319)</f>
        <v>R2: 0.9924</v>
      </c>
    </row>
    <row r="13" customFormat="false" ht="12.8" hidden="false" customHeight="true" outlineLevel="0" collapsed="false">
      <c r="L13" s="8" t="s">
        <v>21</v>
      </c>
      <c r="M13" s="4" t="str">
        <f aca="false">CONCATENATE($D$42,$K$42)</f>
        <v>0.0007737 </v>
      </c>
      <c r="N13" s="4"/>
      <c r="O13" s="4" t="str">
        <f aca="false">CONCATENATE($D$185,$K$185)</f>
        <v>0.00119830</v>
      </c>
      <c r="P13" s="4"/>
      <c r="Q13" s="4" t="str">
        <f aca="false">CONCATENATE($D$328,$K$328)</f>
        <v>0.0014631  *</v>
      </c>
      <c r="R13" s="4"/>
    </row>
    <row r="14" customFormat="false" ht="12.8" hidden="false" customHeight="false" outlineLevel="0" collapsed="false">
      <c r="L14" s="8"/>
      <c r="M14" s="5" t="str">
        <f aca="false">CONCATENATE( "(", $F$42, ")" )</f>
        <v>(0.0012004)</v>
      </c>
      <c r="N14" s="5"/>
      <c r="O14" s="5" t="str">
        <f aca="false">CONCATENATE("( ",$F$185," )")</f>
        <v>( 0.0006986 )</v>
      </c>
      <c r="P14" s="5"/>
      <c r="Q14" s="5" t="str">
        <f aca="false">CONCATENATE("( ",$F$328," )")</f>
        <v>( 0.0005951 )</v>
      </c>
      <c r="R14" s="5"/>
    </row>
    <row r="15" customFormat="false" ht="12.8" hidden="false" customHeight="false" outlineLevel="0" collapsed="false">
      <c r="L15" s="8"/>
      <c r="M15" s="6" t="str">
        <f aca="false">CONCATENATE("DF: ", $B$10)</f>
        <v>DF: 92204</v>
      </c>
      <c r="N15" s="7" t="str">
        <f aca="false">CONCATENATE("R2: ", $B$44)</f>
        <v>R2: 0.9631</v>
      </c>
      <c r="O15" s="6" t="str">
        <f aca="false">CONCATENATE("DF: ", $B$153)</f>
        <v>DF: 81165</v>
      </c>
      <c r="P15" s="7" t="str">
        <f aca="false">CONCATENATE("R2: ", $B$187)</f>
        <v>R2: 0.9669</v>
      </c>
      <c r="Q15" s="6" t="str">
        <f aca="false">CONCATENATE("DF: ", $B$296)</f>
        <v>DF: 54476</v>
      </c>
      <c r="R15" s="7" t="str">
        <f aca="false">CONCATENATE("R2: ", $B$330)</f>
        <v>R2: 0.9718</v>
      </c>
    </row>
    <row r="16" customFormat="false" ht="12.8" hidden="false" customHeight="true" outlineLevel="0" collapsed="false">
      <c r="A16" s="0" t="s">
        <v>5</v>
      </c>
      <c r="L16" s="9" t="s">
        <v>22</v>
      </c>
      <c r="M16" s="4" t="str">
        <f aca="false">CONCATENATE($D$53,$K$53)</f>
        <v>0.000436 </v>
      </c>
      <c r="N16" s="4"/>
      <c r="O16" s="4" t="str">
        <f aca="false">CONCATENATE($D$196,$K$196)</f>
        <v>0.0007642 </v>
      </c>
      <c r="P16" s="4"/>
      <c r="Q16" s="4" t="str">
        <f aca="false">CONCATENATE($D$339,$K$339)</f>
        <v>0.0011008  *</v>
      </c>
      <c r="R16" s="4"/>
    </row>
    <row r="17" customFormat="false" ht="12.8" hidden="false" customHeight="false" outlineLevel="0" collapsed="false">
      <c r="A17" s="0" t="s">
        <v>23</v>
      </c>
      <c r="B17" s="0" t="n">
        <v>6</v>
      </c>
      <c r="C17" s="0" t="s">
        <v>7</v>
      </c>
      <c r="D17" s="0" t="s">
        <v>8</v>
      </c>
      <c r="L17" s="9"/>
      <c r="M17" s="5" t="str">
        <f aca="false">CONCATENATE( "( ", $F$53, " )" )</f>
        <v>( 0.0009887 )</v>
      </c>
      <c r="N17" s="5"/>
      <c r="O17" s="5" t="str">
        <f aca="false">CONCATENATE("( ",$F$196," )")</f>
        <v>( 0.0005899 )</v>
      </c>
      <c r="P17" s="5"/>
      <c r="Q17" s="5" t="str">
        <f aca="false">CONCATENATE("( ",$F$339," )")</f>
        <v>( 0.0005208 )</v>
      </c>
      <c r="R17" s="5"/>
    </row>
    <row r="18" customFormat="false" ht="12.8" hidden="false" customHeight="false" outlineLevel="0" collapsed="false">
      <c r="A18" s="0" t="s">
        <v>9</v>
      </c>
      <c r="L18" s="9"/>
      <c r="M18" s="6" t="str">
        <f aca="false">CONCATENATE("DF: ", $B$10)</f>
        <v>DF: 92204</v>
      </c>
      <c r="N18" s="7" t="str">
        <f aca="false">CONCATENATE("R2: ", $B$55)</f>
        <v>R2: 0.9524</v>
      </c>
      <c r="O18" s="6" t="str">
        <f aca="false">CONCATENATE("DF: ", $B$153)</f>
        <v>DF: 81165</v>
      </c>
      <c r="P18" s="7" t="str">
        <f aca="false">CONCATENATE("R2: ", $B$198)</f>
        <v>R2: 0.9554</v>
      </c>
      <c r="Q18" s="6" t="str">
        <f aca="false">CONCATENATE("DF: ", $B$296)</f>
        <v>DF: 54476</v>
      </c>
      <c r="R18" s="7" t="str">
        <f aca="false">CONCATENATE("R2: ", $B$341)</f>
        <v>R2: 0.9594</v>
      </c>
    </row>
    <row r="19" customFormat="false" ht="12.8" hidden="false" customHeight="true" outlineLevel="0" collapsed="false">
      <c r="A19" s="0" t="s">
        <v>11</v>
      </c>
      <c r="L19" s="8" t="s">
        <v>24</v>
      </c>
      <c r="M19" s="4" t="str">
        <f aca="false">CONCATENATE($D$64,$K$64)</f>
        <v>0.0012097  **</v>
      </c>
      <c r="N19" s="4"/>
      <c r="O19" s="4" t="str">
        <f aca="false">CONCATENATE($D$207,$K$207)</f>
        <v>0.00043410</v>
      </c>
      <c r="P19" s="4"/>
      <c r="Q19" s="4" t="str">
        <f aca="false">CONCATENATE($D$350,$K$350)</f>
        <v>0.0003622  *</v>
      </c>
      <c r="R19" s="4"/>
    </row>
    <row r="20" customFormat="false" ht="12.8" hidden="false" customHeight="false" outlineLevel="0" collapsed="false">
      <c r="A20" s="0" t="s">
        <v>12</v>
      </c>
      <c r="B20" s="0" t="n">
        <v>6</v>
      </c>
      <c r="C20" s="0" t="s">
        <v>13</v>
      </c>
      <c r="D20" s="0" t="n">
        <v>0.0006918</v>
      </c>
      <c r="E20" s="0" t="s">
        <v>15</v>
      </c>
      <c r="F20" s="0" t="n">
        <v>0.003915</v>
      </c>
      <c r="G20" s="0" t="s">
        <v>14</v>
      </c>
      <c r="H20" s="0" t="n">
        <v>0.177</v>
      </c>
      <c r="I20" s="0" t="s">
        <v>25</v>
      </c>
      <c r="J20" s="0" t="n">
        <v>0.86</v>
      </c>
      <c r="K20" s="0" t="s">
        <v>0</v>
      </c>
      <c r="L20" s="8"/>
      <c r="M20" s="5" t="str">
        <f aca="false">CONCATENATE( "(", $F$64, ")" )</f>
        <v>(0.0004608)</v>
      </c>
      <c r="N20" s="5"/>
      <c r="O20" s="5" t="str">
        <f aca="false">CONCATENATE("( ",$F$207," )")</f>
        <v>( 0.0002312 )</v>
      </c>
      <c r="P20" s="5"/>
      <c r="Q20" s="5" t="str">
        <f aca="false">CONCATENATE("( ",$F$350," )")</f>
        <v>( 0.0001522 )</v>
      </c>
      <c r="R20" s="5"/>
    </row>
    <row r="21" customFormat="false" ht="12.8" hidden="false" customHeight="false" outlineLevel="0" collapsed="false">
      <c r="A21" s="0" t="s">
        <v>17</v>
      </c>
      <c r="B21" s="0" t="n">
        <v>92204</v>
      </c>
      <c r="C21" s="0" t="s">
        <v>15</v>
      </c>
      <c r="L21" s="8"/>
      <c r="M21" s="6" t="str">
        <f aca="false">CONCATENATE("DF: ", $B$10)</f>
        <v>DF: 92204</v>
      </c>
      <c r="N21" s="7" t="str">
        <f aca="false">CONCATENATE("R2: ", $B$66)</f>
        <v>R2: 0.9667</v>
      </c>
      <c r="O21" s="6" t="str">
        <f aca="false">CONCATENATE("DF: ", $B$153)</f>
        <v>DF: 81165</v>
      </c>
      <c r="P21" s="7" t="str">
        <f aca="false">CONCATENATE("R2: ", $B$209)</f>
        <v>R2: 0.9772</v>
      </c>
      <c r="Q21" s="6" t="str">
        <f aca="false">CONCATENATE("DF: ", $B$296)</f>
        <v>DF: 54476</v>
      </c>
      <c r="R21" s="7" t="str">
        <f aca="false">CONCATENATE("R2: ", $B$352)</f>
        <v>R2: 0.9884</v>
      </c>
    </row>
    <row r="22" customFormat="false" ht="12.8" hidden="false" customHeight="true" outlineLevel="0" collapsed="false">
      <c r="A22" s="0" t="s">
        <v>19</v>
      </c>
      <c r="B22" s="0" t="n">
        <v>0.9677</v>
      </c>
      <c r="C22" s="0" t="s">
        <v>20</v>
      </c>
      <c r="L22" s="10" t="s">
        <v>26</v>
      </c>
      <c r="M22" s="4" t="str">
        <f aca="false">CONCATENATE($D$75,$K$75)</f>
        <v>0.05628 </v>
      </c>
      <c r="N22" s="4"/>
      <c r="O22" s="4" t="str">
        <f aca="false">CONCATENATE($D$218,$K$218)</f>
        <v>0.0535 </v>
      </c>
      <c r="P22" s="4"/>
      <c r="Q22" s="4" t="str">
        <f aca="false">CONCATENATE($D$361,$K$361)</f>
        <v>0.073 </v>
      </c>
      <c r="R22" s="4"/>
    </row>
    <row r="23" customFormat="false" ht="12.8" hidden="false" customHeight="false" outlineLevel="0" collapsed="false">
      <c r="A23" s="0" t="s">
        <v>19</v>
      </c>
      <c r="B23" s="0" t="n">
        <v>0.02771</v>
      </c>
      <c r="C23" s="0" t="s">
        <v>20</v>
      </c>
      <c r="L23" s="10"/>
      <c r="M23" s="5" t="str">
        <f aca="false">CONCATENATE( "( ", $F$75, " )" )</f>
        <v>( 0.14519 )</v>
      </c>
      <c r="N23" s="5"/>
      <c r="O23" s="5" t="str">
        <f aca="false">CONCATENATE("( ",$F$218," )")</f>
        <v>( 0.09027 )</v>
      </c>
      <c r="P23" s="5"/>
      <c r="Q23" s="5" t="str">
        <f aca="false">CONCATENATE("( ",$F$361," )")</f>
        <v>( 0.08571 )</v>
      </c>
      <c r="R23" s="5"/>
    </row>
    <row r="24" customFormat="false" ht="12.8" hidden="false" customHeight="false" outlineLevel="0" collapsed="false">
      <c r="L24" s="10"/>
      <c r="M24" s="6" t="str">
        <f aca="false">CONCATENATE("DF: ", $B$10)</f>
        <v>DF: 92204</v>
      </c>
      <c r="N24" s="7" t="str">
        <f aca="false">CONCATENATE("R2: ", $B$77)</f>
        <v>R2: 0.9391</v>
      </c>
      <c r="O24" s="6" t="str">
        <f aca="false">CONCATENATE("DF: ", $B$153)</f>
        <v>DF: 81165</v>
      </c>
      <c r="P24" s="7" t="str">
        <f aca="false">CONCATENATE("R2: ", $B$220)</f>
        <v>R2: 0.9395</v>
      </c>
      <c r="Q24" s="6" t="str">
        <f aca="false">CONCATENATE("DF: ", $B$296)</f>
        <v>DF: 54476</v>
      </c>
      <c r="R24" s="7" t="str">
        <f aca="false">CONCATENATE("R2: ", $B$363)</f>
        <v>R2: 0.9398</v>
      </c>
    </row>
    <row r="25" customFormat="false" ht="12.8" hidden="false" customHeight="true" outlineLevel="0" collapsed="false">
      <c r="L25" s="9" t="s">
        <v>27</v>
      </c>
      <c r="M25" s="4" t="str">
        <f aca="false">CONCATENATE($D$86,$K$86)</f>
        <v>0.01189 </v>
      </c>
      <c r="N25" s="4"/>
      <c r="O25" s="4" t="str">
        <f aca="false">CONCATENATE($D$229,$K$229)</f>
        <v>0.04131 </v>
      </c>
      <c r="P25" s="4"/>
      <c r="Q25" s="4" t="str">
        <f aca="false">CONCATENATE($D$372,$K$372)</f>
        <v>0.04804 </v>
      </c>
      <c r="R25" s="4"/>
    </row>
    <row r="26" customFormat="false" ht="12.8" hidden="false" customHeight="false" outlineLevel="0" collapsed="false">
      <c r="L26" s="9"/>
      <c r="M26" s="5" t="str">
        <f aca="false">CONCATENATE( "(", $F$86, ")" )</f>
        <v>(0.08774)</v>
      </c>
      <c r="N26" s="5"/>
      <c r="O26" s="5" t="str">
        <f aca="false">CONCATENATE("( ",$F$229," )")</f>
        <v>( 0.05481 )</v>
      </c>
      <c r="P26" s="5"/>
      <c r="Q26" s="5" t="str">
        <f aca="false">CONCATENATE("( ",$F$372," )")</f>
        <v>( 0.05113 )</v>
      </c>
      <c r="R26" s="5"/>
    </row>
    <row r="27" customFormat="false" ht="12.8" hidden="false" customHeight="false" outlineLevel="0" collapsed="false">
      <c r="A27" s="0" t="s">
        <v>5</v>
      </c>
      <c r="L27" s="9"/>
      <c r="M27" s="6" t="str">
        <f aca="false">CONCATENATE("DF: ", $B$10)</f>
        <v>DF: 92204</v>
      </c>
      <c r="N27" s="7" t="str">
        <f aca="false">CONCATENATE("R2: ", $B$88)</f>
        <v>R2: 0.8937</v>
      </c>
      <c r="O27" s="6" t="str">
        <f aca="false">CONCATENATE("DF: ", $B$153)</f>
        <v>DF: 81165</v>
      </c>
      <c r="P27" s="7" t="str">
        <f aca="false">CONCATENATE("R2: ", $B$231)</f>
        <v>R2: 0.8956</v>
      </c>
      <c r="Q27" s="6" t="str">
        <f aca="false">CONCATENATE("DF: ", $B$296)</f>
        <v>DF: 54476</v>
      </c>
      <c r="R27" s="7" t="str">
        <f aca="false">CONCATENATE("R2: ", $B$374)</f>
        <v>R2: 0.9045</v>
      </c>
    </row>
    <row r="28" customFormat="false" ht="12.8" hidden="false" customHeight="true" outlineLevel="0" collapsed="false">
      <c r="A28" s="0" t="s">
        <v>28</v>
      </c>
      <c r="B28" s="0" t="n">
        <v>6</v>
      </c>
      <c r="C28" s="0" t="s">
        <v>29</v>
      </c>
      <c r="D28" s="0" t="s">
        <v>8</v>
      </c>
      <c r="L28" s="9" t="s">
        <v>30</v>
      </c>
      <c r="M28" s="4" t="str">
        <f aca="false">CONCATENATE($D$97,$K$97)</f>
        <v>0.0719 </v>
      </c>
      <c r="N28" s="4"/>
      <c r="O28" s="4" t="str">
        <f aca="false">CONCATENATE($D$240,$K$240)</f>
        <v>0.01352 </v>
      </c>
      <c r="P28" s="4"/>
      <c r="Q28" s="4" t="str">
        <f aca="false">CONCATENATE($D$383,$K$383)</f>
        <v>0.007088 </v>
      </c>
      <c r="R28" s="4"/>
    </row>
    <row r="29" customFormat="false" ht="12.8" hidden="false" customHeight="false" outlineLevel="0" collapsed="false">
      <c r="A29" s="0" t="s">
        <v>9</v>
      </c>
      <c r="L29" s="9"/>
      <c r="M29" s="5" t="str">
        <f aca="false">CONCATENATE( "( ", $F$97, " )" )</f>
        <v>( 0.05492 )</v>
      </c>
      <c r="N29" s="5"/>
      <c r="O29" s="5" t="str">
        <f aca="false">CONCATENATE("( ",$F$240," )")</f>
        <v>( 0.03412 )</v>
      </c>
      <c r="P29" s="5"/>
      <c r="Q29" s="5" t="str">
        <f aca="false">CONCATENATE("( ",$F$383," )")</f>
        <v>( 0.032938 )</v>
      </c>
      <c r="R29" s="5"/>
    </row>
    <row r="30" customFormat="false" ht="12.8" hidden="false" customHeight="false" outlineLevel="0" collapsed="false">
      <c r="A30" s="0" t="s">
        <v>31</v>
      </c>
      <c r="L30" s="9"/>
      <c r="M30" s="6" t="str">
        <f aca="false">CONCATENATE("DF: ", $B$10)</f>
        <v>DF: 92204</v>
      </c>
      <c r="N30" s="7" t="str">
        <f aca="false">CONCATENATE("R2: ", $B$99)</f>
        <v>R2: 0.9345</v>
      </c>
      <c r="O30" s="6" t="str">
        <f aca="false">CONCATENATE("DF: ", $B$153)</f>
        <v>DF: 81165</v>
      </c>
      <c r="P30" s="7" t="str">
        <f aca="false">CONCATENATE("R2: ", $B$242)</f>
        <v>R2: 0.9348</v>
      </c>
      <c r="Q30" s="6" t="str">
        <f aca="false">CONCATENATE("DF: ", $B$296)</f>
        <v>DF: 54476</v>
      </c>
      <c r="R30" s="7" t="str">
        <f aca="false">CONCATENATE("R2: ", $B$385)</f>
        <v>R2: 0.9327</v>
      </c>
    </row>
    <row r="31" customFormat="false" ht="12.8" hidden="false" customHeight="true" outlineLevel="0" collapsed="false">
      <c r="A31" s="0" t="s">
        <v>12</v>
      </c>
      <c r="B31" s="0" t="n">
        <v>6</v>
      </c>
      <c r="C31" s="0" t="s">
        <v>13</v>
      </c>
      <c r="D31" s="0" t="n">
        <v>0.005431</v>
      </c>
      <c r="E31" s="0" t="s">
        <v>14</v>
      </c>
      <c r="F31" s="0" t="n">
        <v>0.002098</v>
      </c>
      <c r="G31" s="0" t="s">
        <v>15</v>
      </c>
      <c r="H31" s="0" t="n">
        <v>2.588</v>
      </c>
      <c r="I31" s="0" t="s">
        <v>15</v>
      </c>
      <c r="J31" s="0" t="n">
        <v>0.00966</v>
      </c>
      <c r="K31" s="0" t="s">
        <v>32</v>
      </c>
      <c r="L31" s="11" t="s">
        <v>33</v>
      </c>
      <c r="M31" s="4" t="e">
        <f aca="false">CONCATENATE($D$108,#REF!)</f>
        <v>#REF!</v>
      </c>
      <c r="N31" s="4"/>
      <c r="O31" s="4" t="str">
        <f aca="false">CONCATENATE($D$251,$K$251)</f>
        <v>3.223 </v>
      </c>
      <c r="P31" s="4"/>
      <c r="Q31" s="4" t="str">
        <f aca="false">CONCATENATE($D$394,$K$394)</f>
        <v>0.5944 </v>
      </c>
      <c r="R31" s="4"/>
    </row>
    <row r="32" customFormat="false" ht="12.8" hidden="false" customHeight="false" outlineLevel="0" collapsed="false">
      <c r="A32" s="0" t="s">
        <v>17</v>
      </c>
      <c r="B32" s="0" t="n">
        <v>92204</v>
      </c>
      <c r="C32" s="0" t="s">
        <v>15</v>
      </c>
      <c r="L32" s="11"/>
      <c r="M32" s="5" t="str">
        <f aca="false">CONCATENATE( "( ", $F$108, " )" )</f>
        <v>( 7.773 )</v>
      </c>
      <c r="N32" s="5"/>
      <c r="O32" s="5" t="str">
        <f aca="false">CONCATENATE("( ",$F$251," )")</f>
        <v>( 4.687 )</v>
      </c>
      <c r="P32" s="5"/>
      <c r="Q32" s="5" t="str">
        <f aca="false">CONCATENATE("( ",$F$394," )")</f>
        <v>( 4.2234 )</v>
      </c>
      <c r="R32" s="5"/>
    </row>
    <row r="33" customFormat="false" ht="12.8" hidden="false" customHeight="false" outlineLevel="0" collapsed="false">
      <c r="A33" s="0" t="s">
        <v>19</v>
      </c>
      <c r="B33" s="0" t="n">
        <v>0.9705</v>
      </c>
      <c r="C33" s="0" t="s">
        <v>20</v>
      </c>
      <c r="L33" s="11"/>
      <c r="M33" s="6" t="str">
        <f aca="false">CONCATENATE("DF: ", $B$120)</f>
        <v>DF: 91207</v>
      </c>
      <c r="N33" s="7" t="str">
        <f aca="false">CONCATENATE("R2: ", $B$110)</f>
        <v>R2: 0.9279</v>
      </c>
      <c r="O33" s="6" t="str">
        <f aca="false">CONCATENATE("DF: ", $B$263)</f>
        <v>DF: 80203</v>
      </c>
      <c r="P33" s="7" t="str">
        <f aca="false">CONCATENATE("R2: ", $B$253)</f>
        <v>R2: 0.9298</v>
      </c>
      <c r="Q33" s="6" t="str">
        <f aca="false">CONCATENATE("DF: ", $B$395)</f>
        <v>DF: 53568</v>
      </c>
      <c r="R33" s="7" t="str">
        <f aca="false">CONCATENATE("R2: ", $B396)</f>
        <v>R2: 0.9318</v>
      </c>
    </row>
    <row r="34" customFormat="false" ht="12.8" hidden="false" customHeight="true" outlineLevel="0" collapsed="false">
      <c r="A34" s="0" t="s">
        <v>19</v>
      </c>
      <c r="B34" s="0" t="n">
        <v>0.02764</v>
      </c>
      <c r="C34" s="0" t="s">
        <v>20</v>
      </c>
      <c r="L34" s="11" t="s">
        <v>34</v>
      </c>
      <c r="M34" s="4" t="str">
        <f aca="false">CONCATENATE($D$119,$K$119)</f>
        <v>0.1506 </v>
      </c>
      <c r="N34" s="4"/>
      <c r="O34" s="4" t="str">
        <f aca="false">CONCATENATE($D$262,$K$262)</f>
        <v>0.934 </v>
      </c>
      <c r="P34" s="4"/>
      <c r="Q34" s="4" t="str">
        <f aca="false">CONCATENATE($D$405,$K$405)</f>
        <v>5.402  *</v>
      </c>
      <c r="R34" s="4"/>
    </row>
    <row r="35" customFormat="false" ht="12.8" hidden="false" customHeight="false" outlineLevel="0" collapsed="false">
      <c r="L35" s="11"/>
      <c r="M35" s="5" t="str">
        <f aca="false">CONCATENATE( "( ", $F$119, " )" )</f>
        <v>( 5.1486 )</v>
      </c>
      <c r="N35" s="5"/>
      <c r="O35" s="5" t="str">
        <f aca="false">CONCATENATE("( ",$F$262," )")</f>
        <v>( 3.2 )</v>
      </c>
      <c r="P35" s="5"/>
      <c r="Q35" s="5" t="str">
        <f aca="false">CONCATENATE("( ",$F$405," )")</f>
        <v>( 2.658 )</v>
      </c>
      <c r="R35" s="5"/>
    </row>
    <row r="36" customFormat="false" ht="12.8" hidden="false" customHeight="false" outlineLevel="0" collapsed="false">
      <c r="L36" s="11"/>
      <c r="M36" s="6" t="str">
        <f aca="false">CONCATENATE("DF: ", $B$120)</f>
        <v>DF: 91207</v>
      </c>
      <c r="N36" s="7" t="str">
        <f aca="false">CONCATENATE("R2: ", $B$121)</f>
        <v>R2: 0.8799</v>
      </c>
      <c r="O36" s="6" t="str">
        <f aca="false">CONCATENATE("DF: ", $B$263)</f>
        <v>DF: 80203</v>
      </c>
      <c r="P36" s="7" t="str">
        <f aca="false">CONCATENATE("R2: ", $B$264)</f>
        <v>R2: 0.8767</v>
      </c>
      <c r="Q36" s="6" t="str">
        <f aca="false">CONCATENATE("DF: ", $B$395)</f>
        <v>DF: 53568</v>
      </c>
      <c r="R36" s="7" t="str">
        <f aca="false">CONCATENATE("R2: ", $B$407)</f>
        <v>R2: 0.8856</v>
      </c>
    </row>
    <row r="37" customFormat="false" ht="12.8" hidden="false" customHeight="true" outlineLevel="0" collapsed="false">
      <c r="L37" s="11" t="s">
        <v>35</v>
      </c>
      <c r="M37" s="4" t="str">
        <f aca="false">CONCATENATE($D$130,$K$50)</f>
        <v>10.895</v>
      </c>
      <c r="N37" s="4"/>
      <c r="O37" s="4" t="str">
        <f aca="false">CONCATENATE($D$273,$K$273)</f>
        <v>3.683 </v>
      </c>
      <c r="P37" s="4"/>
      <c r="Q37" s="4" t="str">
        <f aca="false">CONCATENATE($F$416,$K$416)</f>
        <v>4.2306 </v>
      </c>
      <c r="R37" s="4"/>
    </row>
    <row r="38" customFormat="false" ht="12.8" hidden="false" customHeight="false" outlineLevel="0" collapsed="false">
      <c r="A38" s="0" t="s">
        <v>5</v>
      </c>
      <c r="L38" s="11"/>
      <c r="M38" s="5" t="str">
        <f aca="false">CONCATENATE( "( ", $F$130, " )" )</f>
        <v>( 7.756 )</v>
      </c>
      <c r="N38" s="5"/>
      <c r="O38" s="5" t="str">
        <f aca="false">CONCATENATE("( ",$F$273," )")</f>
        <v>( 4.647 )</v>
      </c>
      <c r="P38" s="5"/>
      <c r="Q38" s="5" t="str">
        <f aca="false">CONCATENATE("( ",$F$416," )")</f>
        <v>( 4.2306 )</v>
      </c>
      <c r="R38" s="5"/>
    </row>
    <row r="39" customFormat="false" ht="12.8" hidden="false" customHeight="false" outlineLevel="0" collapsed="false">
      <c r="A39" s="0" t="s">
        <v>36</v>
      </c>
      <c r="B39" s="0" t="n">
        <v>6</v>
      </c>
      <c r="C39" s="0" t="s">
        <v>29</v>
      </c>
      <c r="D39" s="0" t="s">
        <v>8</v>
      </c>
      <c r="L39" s="11"/>
      <c r="M39" s="6" t="str">
        <f aca="false">CONCATENATE("DF: ", $B$120)</f>
        <v>DF: 91207</v>
      </c>
      <c r="N39" s="7" t="str">
        <f aca="false">CONCATENATE("R2: ", $B$132)</f>
        <v>R2: 0.927</v>
      </c>
      <c r="O39" s="6" t="str">
        <f aca="false">CONCATENATE("DF: ", $B$263)</f>
        <v>DF: 80203</v>
      </c>
      <c r="P39" s="7" t="str">
        <f aca="false">CONCATENATE("R2: ", $B$275)</f>
        <v>R2: 0.93</v>
      </c>
      <c r="Q39" s="6" t="str">
        <f aca="false">CONCATENATE("DF: ", $B$395)</f>
        <v>DF: 53568</v>
      </c>
      <c r="R39" s="7" t="str">
        <f aca="false">CONCATENATE("R2: ", $B$418)</f>
        <v>R2: 0.9307</v>
      </c>
    </row>
    <row r="40" customFormat="false" ht="12.8" hidden="false" customHeight="true" outlineLevel="0" collapsed="false">
      <c r="A40" s="0" t="s">
        <v>9</v>
      </c>
      <c r="L40" s="11" t="s">
        <v>37</v>
      </c>
      <c r="M40" s="4" t="str">
        <f aca="false">CONCATENATE($D$141,$K$141)</f>
        <v>0.7046 </v>
      </c>
      <c r="N40" s="4"/>
      <c r="O40" s="4" t="str">
        <f aca="false">CONCATENATE($D$284,$K$284)</f>
        <v>1.083 </v>
      </c>
      <c r="P40" s="4"/>
      <c r="Q40" s="4" t="str">
        <f aca="false">CONCATENATE($D$427,$K$427)</f>
        <v>5.302  *</v>
      </c>
      <c r="R40" s="4"/>
    </row>
    <row r="41" customFormat="false" ht="12.8" hidden="false" customHeight="false" outlineLevel="0" collapsed="false">
      <c r="A41" s="0" t="s">
        <v>38</v>
      </c>
      <c r="L41" s="11"/>
      <c r="M41" s="5" t="str">
        <f aca="false">CONCATENATE( "( ", $F$53, " )" )</f>
        <v>( 0.0009887 )</v>
      </c>
      <c r="N41" s="5"/>
      <c r="O41" s="5" t="str">
        <f aca="false">CONCATENATE("( ",$F$284," )")</f>
        <v>( 3.113 )</v>
      </c>
      <c r="P41" s="5"/>
      <c r="Q41" s="5" t="str">
        <f aca="false">CONCATENATE("( ",$F$427," )")</f>
        <v>( 2.613 )</v>
      </c>
      <c r="R41" s="5"/>
    </row>
    <row r="42" customFormat="false" ht="12.8" hidden="false" customHeight="false" outlineLevel="0" collapsed="false">
      <c r="A42" s="0" t="s">
        <v>12</v>
      </c>
      <c r="B42" s="0" t="n">
        <v>6</v>
      </c>
      <c r="C42" s="0" t="s">
        <v>13</v>
      </c>
      <c r="D42" s="0" t="n">
        <v>0.0007737</v>
      </c>
      <c r="E42" s="0" t="s">
        <v>15</v>
      </c>
      <c r="F42" s="0" t="n">
        <v>0.0012004</v>
      </c>
      <c r="G42" s="0" t="s">
        <v>15</v>
      </c>
      <c r="H42" s="0" t="n">
        <v>0.645</v>
      </c>
      <c r="I42" s="0" t="s">
        <v>16</v>
      </c>
      <c r="J42" s="0" t="n">
        <v>0.519</v>
      </c>
      <c r="K42" s="0" t="s">
        <v>0</v>
      </c>
      <c r="L42" s="11"/>
      <c r="M42" s="6" t="str">
        <f aca="false">CONCATENATE("DF: ", $B$120)</f>
        <v>DF: 91207</v>
      </c>
      <c r="N42" s="7" t="str">
        <f aca="false">CONCATENATE("R2: ", $B$143)</f>
        <v>R2: 0.883</v>
      </c>
      <c r="O42" s="6" t="str">
        <f aca="false">CONCATENATE("DF: ", $B$263)</f>
        <v>DF: 80203</v>
      </c>
      <c r="P42" s="7" t="str">
        <f aca="false">CONCATENATE("R2: ", $B$286)</f>
        <v>R2: 0.88</v>
      </c>
      <c r="Q42" s="6" t="str">
        <f aca="false">CONCATENATE("DF: ", $B$395)</f>
        <v>DF: 53568</v>
      </c>
      <c r="R42" s="7" t="str">
        <f aca="false">CONCATENATE("R2: ", $B$429)</f>
        <v>R2: 0.8879</v>
      </c>
    </row>
    <row r="43" customFormat="false" ht="22.9" hidden="false" customHeight="true" outlineLevel="0" collapsed="false">
      <c r="A43" s="0" t="s">
        <v>17</v>
      </c>
      <c r="B43" s="0" t="n">
        <v>92204</v>
      </c>
      <c r="C43" s="0" t="s">
        <v>15</v>
      </c>
      <c r="L43" s="12" t="s">
        <v>39</v>
      </c>
      <c r="M43" s="12"/>
      <c r="N43" s="12"/>
      <c r="O43" s="12"/>
      <c r="P43" s="12"/>
      <c r="Q43" s="12"/>
      <c r="R43" s="12"/>
    </row>
    <row r="44" customFormat="false" ht="12.8" hidden="false" customHeight="false" outlineLevel="0" collapsed="false">
      <c r="A44" s="0" t="s">
        <v>19</v>
      </c>
      <c r="B44" s="0" t="n">
        <v>0.9631</v>
      </c>
      <c r="C44" s="0" t="s">
        <v>20</v>
      </c>
    </row>
    <row r="45" customFormat="false" ht="12.8" hidden="false" customHeight="false" outlineLevel="0" collapsed="false">
      <c r="A45" s="0" t="s">
        <v>19</v>
      </c>
      <c r="B45" s="0" t="n">
        <v>0.02771</v>
      </c>
      <c r="C45" s="0" t="s">
        <v>20</v>
      </c>
    </row>
    <row r="49" customFormat="false" ht="12.8" hidden="false" customHeight="false" outlineLevel="0" collapsed="false">
      <c r="A49" s="0" t="s">
        <v>5</v>
      </c>
    </row>
    <row r="50" customFormat="false" ht="12.8" hidden="false" customHeight="false" outlineLevel="0" collapsed="false">
      <c r="A50" s="0" t="s">
        <v>40</v>
      </c>
      <c r="B50" s="0" t="n">
        <v>6</v>
      </c>
      <c r="C50" s="0" t="s">
        <v>7</v>
      </c>
      <c r="D50" s="0" t="s">
        <v>8</v>
      </c>
    </row>
    <row r="51" customFormat="false" ht="12.8" hidden="false" customHeight="false" outlineLevel="0" collapsed="false">
      <c r="A51" s="0" t="s">
        <v>9</v>
      </c>
    </row>
    <row r="52" customFormat="false" ht="12.8" hidden="false" customHeight="false" outlineLevel="0" collapsed="false">
      <c r="A52" s="0" t="s">
        <v>11</v>
      </c>
    </row>
    <row r="53" customFormat="false" ht="12.8" hidden="false" customHeight="false" outlineLevel="0" collapsed="false">
      <c r="A53" s="0" t="s">
        <v>12</v>
      </c>
      <c r="B53" s="0" t="n">
        <v>6</v>
      </c>
      <c r="C53" s="0" t="s">
        <v>13</v>
      </c>
      <c r="D53" s="0" t="n">
        <v>0.000436</v>
      </c>
      <c r="E53" s="0" t="s">
        <v>15</v>
      </c>
      <c r="F53" s="0" t="n">
        <v>0.0009887</v>
      </c>
      <c r="G53" s="0" t="s">
        <v>14</v>
      </c>
      <c r="H53" s="0" t="n">
        <v>0.441</v>
      </c>
      <c r="I53" s="0" t="s">
        <v>16</v>
      </c>
      <c r="J53" s="0" t="n">
        <v>0.659</v>
      </c>
      <c r="K53" s="0" t="s">
        <v>0</v>
      </c>
    </row>
    <row r="54" customFormat="false" ht="12.8" hidden="false" customHeight="false" outlineLevel="0" collapsed="false">
      <c r="A54" s="0" t="s">
        <v>17</v>
      </c>
      <c r="B54" s="0" t="n">
        <v>92204</v>
      </c>
      <c r="C54" s="0" t="s">
        <v>15</v>
      </c>
    </row>
    <row r="55" customFormat="false" ht="12.8" hidden="false" customHeight="false" outlineLevel="0" collapsed="false">
      <c r="A55" s="0" t="s">
        <v>19</v>
      </c>
      <c r="B55" s="0" t="n">
        <v>0.9524</v>
      </c>
      <c r="C55" s="0" t="s">
        <v>20</v>
      </c>
    </row>
    <row r="56" customFormat="false" ht="12.8" hidden="false" customHeight="false" outlineLevel="0" collapsed="false">
      <c r="A56" s="0" t="s">
        <v>19</v>
      </c>
      <c r="B56" s="0" t="n">
        <v>0.02771</v>
      </c>
      <c r="C56" s="0" t="s">
        <v>20</v>
      </c>
    </row>
    <row r="60" customFormat="false" ht="12.8" hidden="false" customHeight="false" outlineLevel="0" collapsed="false">
      <c r="A60" s="0" t="s">
        <v>5</v>
      </c>
    </row>
    <row r="61" customFormat="false" ht="12.8" hidden="false" customHeight="false" outlineLevel="0" collapsed="false">
      <c r="A61" s="0" t="s">
        <v>41</v>
      </c>
      <c r="B61" s="0" t="n">
        <v>6</v>
      </c>
      <c r="C61" s="0" t="s">
        <v>7</v>
      </c>
      <c r="D61" s="0" t="s">
        <v>8</v>
      </c>
    </row>
    <row r="62" customFormat="false" ht="12.8" hidden="false" customHeight="false" outlineLevel="0" collapsed="false">
      <c r="A62" s="0" t="s">
        <v>9</v>
      </c>
    </row>
    <row r="63" customFormat="false" ht="12.8" hidden="false" customHeight="false" outlineLevel="0" collapsed="false">
      <c r="A63" s="0" t="s">
        <v>42</v>
      </c>
    </row>
    <row r="64" customFormat="false" ht="12.8" hidden="false" customHeight="false" outlineLevel="0" collapsed="false">
      <c r="A64" s="0" t="s">
        <v>12</v>
      </c>
      <c r="B64" s="0" t="n">
        <v>6</v>
      </c>
      <c r="C64" s="0" t="s">
        <v>13</v>
      </c>
      <c r="D64" s="0" t="n">
        <v>0.0012097</v>
      </c>
      <c r="E64" s="0" t="s">
        <v>15</v>
      </c>
      <c r="F64" s="0" t="n">
        <v>0.0004608</v>
      </c>
      <c r="G64" s="0" t="s">
        <v>15</v>
      </c>
      <c r="H64" s="0" t="n">
        <v>2.625</v>
      </c>
      <c r="I64" s="0" t="s">
        <v>15</v>
      </c>
      <c r="J64" s="0" t="n">
        <v>0.00866</v>
      </c>
      <c r="K64" s="0" t="s">
        <v>32</v>
      </c>
    </row>
    <row r="65" customFormat="false" ht="12.8" hidden="false" customHeight="false" outlineLevel="0" collapsed="false">
      <c r="A65" s="0" t="s">
        <v>17</v>
      </c>
      <c r="B65" s="0" t="n">
        <v>92204</v>
      </c>
      <c r="C65" s="0" t="s">
        <v>15</v>
      </c>
    </row>
    <row r="66" customFormat="false" ht="12.8" hidden="false" customHeight="false" outlineLevel="0" collapsed="false">
      <c r="A66" s="0" t="s">
        <v>19</v>
      </c>
      <c r="B66" s="0" t="n">
        <v>0.9667</v>
      </c>
      <c r="C66" s="0" t="s">
        <v>20</v>
      </c>
    </row>
    <row r="67" customFormat="false" ht="12.8" hidden="false" customHeight="false" outlineLevel="0" collapsed="false">
      <c r="A67" s="0" t="s">
        <v>19</v>
      </c>
      <c r="B67" s="0" t="n">
        <v>0.02763</v>
      </c>
      <c r="C67" s="0" t="s">
        <v>20</v>
      </c>
    </row>
    <row r="71" customFormat="false" ht="12.8" hidden="false" customHeight="false" outlineLevel="0" collapsed="false">
      <c r="A71" s="0" t="s">
        <v>5</v>
      </c>
    </row>
    <row r="72" customFormat="false" ht="12.8" hidden="false" customHeight="false" outlineLevel="0" collapsed="false">
      <c r="A72" s="0" t="s">
        <v>43</v>
      </c>
      <c r="B72" s="0" t="n">
        <v>6</v>
      </c>
      <c r="C72" s="0" t="s">
        <v>7</v>
      </c>
      <c r="D72" s="0" t="s">
        <v>8</v>
      </c>
    </row>
    <row r="73" customFormat="false" ht="12.8" hidden="false" customHeight="false" outlineLevel="0" collapsed="false">
      <c r="A73" s="0" t="s">
        <v>9</v>
      </c>
    </row>
    <row r="74" customFormat="false" ht="12.8" hidden="false" customHeight="false" outlineLevel="0" collapsed="false">
      <c r="A74" s="0" t="s">
        <v>44</v>
      </c>
    </row>
    <row r="75" customFormat="false" ht="12.8" hidden="false" customHeight="false" outlineLevel="0" collapsed="false">
      <c r="A75" s="0" t="s">
        <v>12</v>
      </c>
      <c r="B75" s="0" t="n">
        <v>6</v>
      </c>
      <c r="C75" s="0" t="s">
        <v>13</v>
      </c>
      <c r="D75" s="0" t="n">
        <v>0.05628</v>
      </c>
      <c r="E75" s="0" t="s">
        <v>16</v>
      </c>
      <c r="F75" s="0" t="n">
        <v>0.14519</v>
      </c>
      <c r="G75" s="0" t="s">
        <v>15</v>
      </c>
      <c r="H75" s="0" t="n">
        <v>0.388</v>
      </c>
      <c r="I75" s="0" t="s">
        <v>16</v>
      </c>
      <c r="J75" s="0" t="n">
        <v>0.698</v>
      </c>
      <c r="K75" s="0" t="s">
        <v>0</v>
      </c>
    </row>
    <row r="76" customFormat="false" ht="12.8" hidden="false" customHeight="false" outlineLevel="0" collapsed="false">
      <c r="A76" s="0" t="s">
        <v>17</v>
      </c>
      <c r="B76" s="0" t="n">
        <v>92204</v>
      </c>
      <c r="C76" s="0" t="s">
        <v>15</v>
      </c>
    </row>
    <row r="77" customFormat="false" ht="12.8" hidden="false" customHeight="false" outlineLevel="0" collapsed="false">
      <c r="A77" s="0" t="s">
        <v>19</v>
      </c>
      <c r="B77" s="0" t="n">
        <v>0.9391</v>
      </c>
      <c r="C77" s="0" t="s">
        <v>20</v>
      </c>
    </row>
    <row r="78" customFormat="false" ht="12.8" hidden="false" customHeight="false" outlineLevel="0" collapsed="false">
      <c r="A78" s="0" t="s">
        <v>19</v>
      </c>
      <c r="B78" s="0" t="n">
        <v>0.02771</v>
      </c>
      <c r="C78" s="0" t="s">
        <v>20</v>
      </c>
    </row>
    <row r="82" customFormat="false" ht="12.8" hidden="false" customHeight="false" outlineLevel="0" collapsed="false">
      <c r="A82" s="0" t="s">
        <v>5</v>
      </c>
    </row>
    <row r="83" customFormat="false" ht="12.8" hidden="false" customHeight="false" outlineLevel="0" collapsed="false">
      <c r="A83" s="0" t="s">
        <v>45</v>
      </c>
      <c r="B83" s="0" t="n">
        <v>6</v>
      </c>
      <c r="C83" s="0" t="s">
        <v>7</v>
      </c>
      <c r="D83" s="0" t="s">
        <v>8</v>
      </c>
    </row>
    <row r="84" customFormat="false" ht="12.8" hidden="false" customHeight="false" outlineLevel="0" collapsed="false">
      <c r="A84" s="0" t="s">
        <v>9</v>
      </c>
    </row>
    <row r="85" customFormat="false" ht="12.8" hidden="false" customHeight="false" outlineLevel="0" collapsed="false">
      <c r="A85" s="0" t="s">
        <v>44</v>
      </c>
    </row>
    <row r="86" customFormat="false" ht="12.8" hidden="false" customHeight="false" outlineLevel="0" collapsed="false">
      <c r="A86" s="0" t="s">
        <v>12</v>
      </c>
      <c r="B86" s="0" t="n">
        <v>6</v>
      </c>
      <c r="C86" s="0" t="s">
        <v>13</v>
      </c>
      <c r="D86" s="0" t="n">
        <v>0.01189</v>
      </c>
      <c r="E86" s="0" t="s">
        <v>16</v>
      </c>
      <c r="F86" s="0" t="n">
        <v>0.08774</v>
      </c>
      <c r="G86" s="0" t="s">
        <v>15</v>
      </c>
      <c r="H86" s="0" t="n">
        <v>0.136</v>
      </c>
      <c r="I86" s="0" t="s">
        <v>16</v>
      </c>
      <c r="J86" s="0" t="n">
        <v>0.892</v>
      </c>
      <c r="K86" s="0" t="s">
        <v>0</v>
      </c>
    </row>
    <row r="87" customFormat="false" ht="12.8" hidden="false" customHeight="false" outlineLevel="0" collapsed="false">
      <c r="A87" s="0" t="s">
        <v>17</v>
      </c>
      <c r="B87" s="0" t="n">
        <v>92204</v>
      </c>
      <c r="C87" s="0" t="s">
        <v>15</v>
      </c>
    </row>
    <row r="88" customFormat="false" ht="12.8" hidden="false" customHeight="false" outlineLevel="0" collapsed="false">
      <c r="A88" s="0" t="s">
        <v>19</v>
      </c>
      <c r="B88" s="0" t="n">
        <v>0.8937</v>
      </c>
      <c r="C88" s="0" t="s">
        <v>20</v>
      </c>
    </row>
    <row r="89" customFormat="false" ht="12.8" hidden="false" customHeight="false" outlineLevel="0" collapsed="false">
      <c r="A89" s="0" t="s">
        <v>19</v>
      </c>
      <c r="B89" s="0" t="n">
        <v>0.02771</v>
      </c>
      <c r="C89" s="0" t="s">
        <v>20</v>
      </c>
    </row>
    <row r="93" customFormat="false" ht="12.8" hidden="false" customHeight="false" outlineLevel="0" collapsed="false">
      <c r="A93" s="0" t="s">
        <v>5</v>
      </c>
    </row>
    <row r="94" customFormat="false" ht="12.8" hidden="false" customHeight="false" outlineLevel="0" collapsed="false">
      <c r="A94" s="0" t="s">
        <v>46</v>
      </c>
      <c r="B94" s="0" t="n">
        <v>6</v>
      </c>
      <c r="C94" s="0" t="s">
        <v>29</v>
      </c>
      <c r="D94" s="0" t="s">
        <v>8</v>
      </c>
    </row>
    <row r="95" customFormat="false" ht="12.8" hidden="false" customHeight="false" outlineLevel="0" collapsed="false">
      <c r="A95" s="0" t="s">
        <v>9</v>
      </c>
    </row>
    <row r="96" customFormat="false" ht="12.8" hidden="false" customHeight="false" outlineLevel="0" collapsed="false">
      <c r="A96" s="0" t="s">
        <v>44</v>
      </c>
    </row>
    <row r="97" customFormat="false" ht="12.8" hidden="false" customHeight="false" outlineLevel="0" collapsed="false">
      <c r="A97" s="0" t="s">
        <v>12</v>
      </c>
      <c r="B97" s="0" t="n">
        <v>6</v>
      </c>
      <c r="C97" s="0" t="s">
        <v>13</v>
      </c>
      <c r="D97" s="0" t="n">
        <v>0.0719</v>
      </c>
      <c r="E97" s="0" t="s">
        <v>16</v>
      </c>
      <c r="F97" s="0" t="n">
        <v>0.05492</v>
      </c>
      <c r="G97" s="0" t="s">
        <v>15</v>
      </c>
      <c r="H97" s="0" t="n">
        <v>1.309</v>
      </c>
      <c r="I97" s="0" t="s">
        <v>16</v>
      </c>
      <c r="J97" s="0" t="n">
        <v>0.191</v>
      </c>
      <c r="K97" s="0" t="s">
        <v>0</v>
      </c>
    </row>
    <row r="98" customFormat="false" ht="12.8" hidden="false" customHeight="false" outlineLevel="0" collapsed="false">
      <c r="A98" s="0" t="s">
        <v>17</v>
      </c>
      <c r="B98" s="0" t="n">
        <v>92204</v>
      </c>
      <c r="C98" s="0" t="s">
        <v>15</v>
      </c>
    </row>
    <row r="99" customFormat="false" ht="12.8" hidden="false" customHeight="false" outlineLevel="0" collapsed="false">
      <c r="A99" s="0" t="s">
        <v>19</v>
      </c>
      <c r="B99" s="0" t="n">
        <v>0.9345</v>
      </c>
      <c r="C99" s="0" t="s">
        <v>20</v>
      </c>
    </row>
    <row r="100" customFormat="false" ht="12.8" hidden="false" customHeight="false" outlineLevel="0" collapsed="false">
      <c r="A100" s="0" t="s">
        <v>19</v>
      </c>
      <c r="B100" s="0" t="n">
        <v>0.02769</v>
      </c>
      <c r="C100" s="0" t="s">
        <v>20</v>
      </c>
    </row>
    <row r="104" customFormat="false" ht="12.8" hidden="false" customHeight="false" outlineLevel="0" collapsed="false">
      <c r="A104" s="0" t="s">
        <v>5</v>
      </c>
    </row>
    <row r="105" customFormat="false" ht="12.8" hidden="false" customHeight="false" outlineLevel="0" collapsed="false">
      <c r="A105" s="0" t="s">
        <v>47</v>
      </c>
      <c r="B105" s="0" t="n">
        <v>6</v>
      </c>
      <c r="C105" s="0" t="s">
        <v>29</v>
      </c>
      <c r="D105" s="0" t="s">
        <v>8</v>
      </c>
    </row>
    <row r="106" customFormat="false" ht="12.8" hidden="false" customHeight="false" outlineLevel="0" collapsed="false">
      <c r="A106" s="0" t="s">
        <v>9</v>
      </c>
    </row>
    <row r="107" customFormat="false" ht="12.8" hidden="false" customHeight="false" outlineLevel="0" collapsed="false">
      <c r="A107" s="0" t="s">
        <v>44</v>
      </c>
    </row>
    <row r="108" customFormat="false" ht="12.8" hidden="false" customHeight="false" outlineLevel="0" collapsed="false">
      <c r="A108" s="0" t="s">
        <v>12</v>
      </c>
      <c r="B108" s="0" t="n">
        <v>6</v>
      </c>
      <c r="C108" s="0" t="s">
        <v>48</v>
      </c>
      <c r="D108" s="0" t="n">
        <v>11.439</v>
      </c>
      <c r="E108" s="0" t="s">
        <v>49</v>
      </c>
      <c r="F108" s="0" t="n">
        <v>7.773</v>
      </c>
      <c r="G108" s="0" t="s">
        <v>14</v>
      </c>
      <c r="H108" s="0" t="n">
        <v>1.472</v>
      </c>
      <c r="I108" s="0" t="s">
        <v>16</v>
      </c>
      <c r="J108" s="0" t="n">
        <v>0.141</v>
      </c>
      <c r="K108" s="0" t="s">
        <v>0</v>
      </c>
    </row>
    <row r="109" customFormat="false" ht="12.8" hidden="false" customHeight="false" outlineLevel="0" collapsed="false">
      <c r="A109" s="0" t="s">
        <v>17</v>
      </c>
      <c r="B109" s="0" t="n">
        <v>91207</v>
      </c>
      <c r="C109" s="0" t="s">
        <v>15</v>
      </c>
    </row>
    <row r="110" customFormat="false" ht="12.8" hidden="false" customHeight="false" outlineLevel="0" collapsed="false">
      <c r="A110" s="0" t="s">
        <v>19</v>
      </c>
      <c r="B110" s="0" t="n">
        <v>0.9279</v>
      </c>
      <c r="C110" s="0" t="s">
        <v>20</v>
      </c>
    </row>
    <row r="111" customFormat="false" ht="12.8" hidden="false" customHeight="false" outlineLevel="0" collapsed="false">
      <c r="A111" s="0" t="s">
        <v>19</v>
      </c>
      <c r="B111" s="0" t="n">
        <v>0.02799</v>
      </c>
      <c r="C111" s="0" t="s">
        <v>20</v>
      </c>
    </row>
    <row r="115" customFormat="false" ht="12.8" hidden="false" customHeight="false" outlineLevel="0" collapsed="false">
      <c r="A115" s="0" t="s">
        <v>5</v>
      </c>
    </row>
    <row r="116" customFormat="false" ht="12.8" hidden="false" customHeight="false" outlineLevel="0" collapsed="false">
      <c r="A116" s="0" t="s">
        <v>50</v>
      </c>
      <c r="B116" s="0" t="n">
        <v>6</v>
      </c>
      <c r="C116" s="0" t="s">
        <v>29</v>
      </c>
      <c r="D116" s="0" t="s">
        <v>8</v>
      </c>
    </row>
    <row r="117" customFormat="false" ht="12.8" hidden="false" customHeight="false" outlineLevel="0" collapsed="false">
      <c r="A117" s="0" t="s">
        <v>9</v>
      </c>
    </row>
    <row r="118" customFormat="false" ht="12.8" hidden="false" customHeight="false" outlineLevel="0" collapsed="false">
      <c r="A118" s="0" t="s">
        <v>44</v>
      </c>
    </row>
    <row r="119" customFormat="false" ht="12.8" hidden="false" customHeight="false" outlineLevel="0" collapsed="false">
      <c r="A119" s="0" t="s">
        <v>12</v>
      </c>
      <c r="B119" s="0" t="n">
        <v>6</v>
      </c>
      <c r="C119" s="0" t="s">
        <v>51</v>
      </c>
      <c r="D119" s="0" t="n">
        <v>0.1506</v>
      </c>
      <c r="E119" s="0" t="s">
        <v>25</v>
      </c>
      <c r="F119" s="0" t="n">
        <v>5.1486</v>
      </c>
      <c r="G119" s="0" t="s">
        <v>15</v>
      </c>
      <c r="H119" s="0" t="n">
        <v>0.029</v>
      </c>
      <c r="I119" s="0" t="s">
        <v>16</v>
      </c>
      <c r="J119" s="0" t="n">
        <v>0.977</v>
      </c>
      <c r="K119" s="0" t="s">
        <v>0</v>
      </c>
    </row>
    <row r="120" customFormat="false" ht="12.8" hidden="false" customHeight="false" outlineLevel="0" collapsed="false">
      <c r="A120" s="0" t="s">
        <v>17</v>
      </c>
      <c r="B120" s="0" t="n">
        <v>91207</v>
      </c>
      <c r="C120" s="0" t="s">
        <v>15</v>
      </c>
    </row>
    <row r="121" customFormat="false" ht="12.8" hidden="false" customHeight="false" outlineLevel="0" collapsed="false">
      <c r="A121" s="0" t="s">
        <v>19</v>
      </c>
      <c r="B121" s="0" t="n">
        <v>0.8799</v>
      </c>
      <c r="C121" s="0" t="s">
        <v>20</v>
      </c>
    </row>
    <row r="122" customFormat="false" ht="12.8" hidden="false" customHeight="false" outlineLevel="0" collapsed="false">
      <c r="A122" s="0" t="s">
        <v>19</v>
      </c>
      <c r="B122" s="0" t="n">
        <v>0.02801</v>
      </c>
      <c r="C122" s="0" t="s">
        <v>20</v>
      </c>
    </row>
    <row r="126" customFormat="false" ht="12.8" hidden="false" customHeight="false" outlineLevel="0" collapsed="false">
      <c r="A126" s="0" t="s">
        <v>5</v>
      </c>
    </row>
    <row r="127" customFormat="false" ht="12.8" hidden="false" customHeight="false" outlineLevel="0" collapsed="false">
      <c r="A127" s="0" t="s">
        <v>52</v>
      </c>
      <c r="B127" s="0" t="n">
        <v>6</v>
      </c>
      <c r="C127" s="0" t="s">
        <v>7</v>
      </c>
      <c r="D127" s="0" t="s">
        <v>8</v>
      </c>
    </row>
    <row r="128" customFormat="false" ht="12.8" hidden="false" customHeight="false" outlineLevel="0" collapsed="false">
      <c r="A128" s="0" t="s">
        <v>9</v>
      </c>
    </row>
    <row r="129" customFormat="false" ht="12.8" hidden="false" customHeight="false" outlineLevel="0" collapsed="false">
      <c r="A129" s="0" t="s">
        <v>44</v>
      </c>
    </row>
    <row r="130" customFormat="false" ht="12.8" hidden="false" customHeight="false" outlineLevel="0" collapsed="false">
      <c r="A130" s="0" t="s">
        <v>12</v>
      </c>
      <c r="B130" s="0" t="n">
        <v>6</v>
      </c>
      <c r="C130" s="0" t="s">
        <v>48</v>
      </c>
      <c r="D130" s="0" t="n">
        <v>10.895</v>
      </c>
      <c r="E130" s="0" t="s">
        <v>49</v>
      </c>
      <c r="F130" s="0" t="n">
        <v>7.756</v>
      </c>
      <c r="G130" s="0" t="s">
        <v>14</v>
      </c>
      <c r="H130" s="0" t="n">
        <v>1.405</v>
      </c>
      <c r="I130" s="0" t="s">
        <v>25</v>
      </c>
      <c r="J130" s="0" t="n">
        <v>0.16</v>
      </c>
      <c r="K130" s="0" t="s">
        <v>0</v>
      </c>
    </row>
    <row r="131" customFormat="false" ht="12.8" hidden="false" customHeight="false" outlineLevel="0" collapsed="false">
      <c r="A131" s="0" t="s">
        <v>17</v>
      </c>
      <c r="B131" s="0" t="n">
        <v>91207</v>
      </c>
      <c r="C131" s="0" t="s">
        <v>15</v>
      </c>
    </row>
    <row r="132" customFormat="false" ht="12.8" hidden="false" customHeight="false" outlineLevel="0" collapsed="false">
      <c r="A132" s="0" t="s">
        <v>19</v>
      </c>
      <c r="B132" s="0" t="n">
        <v>0.927</v>
      </c>
      <c r="C132" s="0" t="s">
        <v>20</v>
      </c>
    </row>
    <row r="133" customFormat="false" ht="12.8" hidden="false" customHeight="false" outlineLevel="0" collapsed="false">
      <c r="A133" s="0" t="s">
        <v>19</v>
      </c>
      <c r="B133" s="0" t="n">
        <v>0.02799</v>
      </c>
      <c r="C133" s="0" t="s">
        <v>20</v>
      </c>
    </row>
    <row r="137" customFormat="false" ht="12.8" hidden="false" customHeight="false" outlineLevel="0" collapsed="false">
      <c r="A137" s="0" t="s">
        <v>5</v>
      </c>
    </row>
    <row r="138" customFormat="false" ht="12.8" hidden="false" customHeight="false" outlineLevel="0" collapsed="false">
      <c r="A138" s="0" t="s">
        <v>53</v>
      </c>
      <c r="B138" s="0" t="n">
        <v>6</v>
      </c>
      <c r="C138" s="0" t="s">
        <v>29</v>
      </c>
      <c r="D138" s="0" t="s">
        <v>8</v>
      </c>
    </row>
    <row r="139" customFormat="false" ht="12.8" hidden="false" customHeight="false" outlineLevel="0" collapsed="false">
      <c r="A139" s="0" t="s">
        <v>9</v>
      </c>
    </row>
    <row r="140" customFormat="false" ht="12.8" hidden="false" customHeight="false" outlineLevel="0" collapsed="false">
      <c r="A140" s="0" t="s">
        <v>44</v>
      </c>
    </row>
    <row r="141" customFormat="false" ht="12.8" hidden="false" customHeight="false" outlineLevel="0" collapsed="false">
      <c r="A141" s="0" t="s">
        <v>12</v>
      </c>
      <c r="B141" s="0" t="n">
        <v>6</v>
      </c>
      <c r="C141" s="0" t="s">
        <v>51</v>
      </c>
      <c r="D141" s="0" t="n">
        <v>0.7046</v>
      </c>
      <c r="E141" s="0" t="s">
        <v>25</v>
      </c>
      <c r="F141" s="0" t="n">
        <v>5.0113</v>
      </c>
      <c r="G141" s="0" t="s">
        <v>15</v>
      </c>
      <c r="H141" s="0" t="n">
        <v>0.141</v>
      </c>
      <c r="I141" s="0" t="s">
        <v>16</v>
      </c>
      <c r="J141" s="0" t="n">
        <v>0.888</v>
      </c>
      <c r="K141" s="0" t="s">
        <v>0</v>
      </c>
    </row>
    <row r="142" customFormat="false" ht="12.8" hidden="false" customHeight="false" outlineLevel="0" collapsed="false">
      <c r="A142" s="0" t="s">
        <v>17</v>
      </c>
      <c r="B142" s="0" t="n">
        <v>91207</v>
      </c>
      <c r="C142" s="0" t="s">
        <v>15</v>
      </c>
    </row>
    <row r="143" customFormat="false" ht="12.8" hidden="false" customHeight="false" outlineLevel="0" collapsed="false">
      <c r="A143" s="0" t="s">
        <v>19</v>
      </c>
      <c r="B143" s="0" t="n">
        <v>0.883</v>
      </c>
      <c r="C143" s="0" t="s">
        <v>20</v>
      </c>
    </row>
    <row r="144" customFormat="false" ht="12.8" hidden="false" customHeight="false" outlineLevel="0" collapsed="false">
      <c r="A144" s="0" t="s">
        <v>19</v>
      </c>
      <c r="B144" s="0" t="n">
        <v>0.02801</v>
      </c>
      <c r="C144" s="0" t="s">
        <v>15</v>
      </c>
    </row>
    <row r="148" customFormat="false" ht="12.8" hidden="false" customHeight="false" outlineLevel="0" collapsed="false">
      <c r="A148" s="0" t="s">
        <v>5</v>
      </c>
    </row>
    <row r="149" customFormat="false" ht="12.8" hidden="false" customHeight="false" outlineLevel="0" collapsed="false">
      <c r="A149" s="0" t="s">
        <v>6</v>
      </c>
      <c r="B149" s="0" t="n">
        <v>12</v>
      </c>
      <c r="C149" s="0" t="s">
        <v>7</v>
      </c>
      <c r="D149" s="0" t="s">
        <v>8</v>
      </c>
    </row>
    <row r="150" customFormat="false" ht="12.8" hidden="false" customHeight="false" outlineLevel="0" collapsed="false">
      <c r="A150" s="0" t="s">
        <v>9</v>
      </c>
    </row>
    <row r="151" customFormat="false" ht="12.8" hidden="false" customHeight="false" outlineLevel="0" collapsed="false">
      <c r="A151" s="0" t="s">
        <v>38</v>
      </c>
    </row>
    <row r="152" customFormat="false" ht="12.8" hidden="false" customHeight="false" outlineLevel="0" collapsed="false">
      <c r="A152" s="0" t="s">
        <v>12</v>
      </c>
      <c r="B152" s="0" t="n">
        <v>12</v>
      </c>
      <c r="C152" s="0" t="s">
        <v>13</v>
      </c>
      <c r="D152" s="0" t="n">
        <v>0.004117</v>
      </c>
      <c r="E152" s="0" t="s">
        <v>14</v>
      </c>
      <c r="F152" s="0" t="n">
        <v>0.002752</v>
      </c>
      <c r="G152" s="0" t="s">
        <v>15</v>
      </c>
      <c r="H152" s="0" t="n">
        <v>1.496</v>
      </c>
      <c r="I152" s="0" t="s">
        <v>16</v>
      </c>
      <c r="J152" s="0" t="n">
        <v>0.135</v>
      </c>
      <c r="K152" s="0" t="s">
        <v>0</v>
      </c>
    </row>
    <row r="153" customFormat="false" ht="12.8" hidden="false" customHeight="false" outlineLevel="0" collapsed="false">
      <c r="A153" s="0" t="s">
        <v>17</v>
      </c>
      <c r="B153" s="0" t="n">
        <v>81165</v>
      </c>
      <c r="C153" s="0" t="s">
        <v>15</v>
      </c>
    </row>
    <row r="154" customFormat="false" ht="12.8" hidden="false" customHeight="false" outlineLevel="0" collapsed="false">
      <c r="A154" s="0" t="s">
        <v>19</v>
      </c>
      <c r="B154" s="0" t="n">
        <v>0.9778</v>
      </c>
      <c r="C154" s="0" t="s">
        <v>20</v>
      </c>
    </row>
    <row r="155" customFormat="false" ht="12.8" hidden="false" customHeight="false" outlineLevel="0" collapsed="false">
      <c r="A155" s="0" t="s">
        <v>19</v>
      </c>
      <c r="B155" s="0" t="n">
        <v>0.03139</v>
      </c>
      <c r="C155" s="0" t="s">
        <v>20</v>
      </c>
    </row>
    <row r="159" customFormat="false" ht="12.8" hidden="false" customHeight="false" outlineLevel="0" collapsed="false">
      <c r="A159" s="0" t="s">
        <v>5</v>
      </c>
    </row>
    <row r="160" customFormat="false" ht="12.8" hidden="false" customHeight="false" outlineLevel="0" collapsed="false">
      <c r="A160" s="0" t="s">
        <v>23</v>
      </c>
      <c r="B160" s="0" t="n">
        <v>12</v>
      </c>
      <c r="C160" s="0" t="s">
        <v>29</v>
      </c>
      <c r="D160" s="0" t="s">
        <v>8</v>
      </c>
    </row>
    <row r="161" customFormat="false" ht="12.8" hidden="false" customHeight="false" outlineLevel="0" collapsed="false">
      <c r="A161" s="0" t="s">
        <v>9</v>
      </c>
    </row>
    <row r="162" customFormat="false" ht="12.8" hidden="false" customHeight="false" outlineLevel="0" collapsed="false">
      <c r="A162" s="0" t="s">
        <v>38</v>
      </c>
    </row>
    <row r="163" customFormat="false" ht="12.8" hidden="false" customHeight="false" outlineLevel="0" collapsed="false">
      <c r="A163" s="0" t="s">
        <v>12</v>
      </c>
      <c r="B163" s="0" t="n">
        <v>12</v>
      </c>
      <c r="C163" s="0" t="s">
        <v>13</v>
      </c>
      <c r="D163" s="0" t="n">
        <v>0.002975</v>
      </c>
      <c r="E163" s="0" t="s">
        <v>14</v>
      </c>
      <c r="F163" s="0" t="n">
        <v>0.00229</v>
      </c>
      <c r="G163" s="0" t="s">
        <v>15</v>
      </c>
      <c r="H163" s="0" t="n">
        <v>1.299</v>
      </c>
      <c r="I163" s="0" t="s">
        <v>16</v>
      </c>
      <c r="J163" s="0" t="n">
        <v>0.194</v>
      </c>
      <c r="K163" s="0" t="s">
        <v>0</v>
      </c>
    </row>
    <row r="164" customFormat="false" ht="12.8" hidden="false" customHeight="false" outlineLevel="0" collapsed="false">
      <c r="A164" s="0" t="s">
        <v>17</v>
      </c>
      <c r="B164" s="0" t="n">
        <v>81165</v>
      </c>
      <c r="C164" s="0" t="s">
        <v>15</v>
      </c>
    </row>
    <row r="165" customFormat="false" ht="12.8" hidden="false" customHeight="false" outlineLevel="0" collapsed="false">
      <c r="A165" s="0" t="s">
        <v>19</v>
      </c>
      <c r="B165" s="0" t="n">
        <v>0.9709</v>
      </c>
      <c r="C165" s="0" t="s">
        <v>20</v>
      </c>
    </row>
    <row r="166" customFormat="false" ht="12.8" hidden="false" customHeight="false" outlineLevel="0" collapsed="false">
      <c r="A166" s="0" t="s">
        <v>19</v>
      </c>
      <c r="B166" s="0" t="n">
        <v>0.0314</v>
      </c>
      <c r="C166" s="0" t="s">
        <v>20</v>
      </c>
    </row>
    <row r="170" customFormat="false" ht="12.8" hidden="false" customHeight="false" outlineLevel="0" collapsed="false">
      <c r="A170" s="0" t="s">
        <v>5</v>
      </c>
    </row>
    <row r="171" customFormat="false" ht="12.8" hidden="false" customHeight="false" outlineLevel="0" collapsed="false">
      <c r="A171" s="0" t="s">
        <v>28</v>
      </c>
      <c r="B171" s="0" t="n">
        <v>12</v>
      </c>
      <c r="C171" s="0" t="s">
        <v>29</v>
      </c>
      <c r="D171" s="0" t="s">
        <v>8</v>
      </c>
    </row>
    <row r="172" customFormat="false" ht="12.8" hidden="false" customHeight="false" outlineLevel="0" collapsed="false">
      <c r="A172" s="0" t="s">
        <v>9</v>
      </c>
    </row>
    <row r="173" customFormat="false" ht="12.8" hidden="false" customHeight="false" outlineLevel="0" collapsed="false">
      <c r="A173" s="0" t="s">
        <v>38</v>
      </c>
    </row>
    <row r="174" customFormat="false" ht="12.8" hidden="false" customHeight="false" outlineLevel="0" collapsed="false">
      <c r="A174" s="0" t="s">
        <v>12</v>
      </c>
      <c r="B174" s="0" t="n">
        <v>12</v>
      </c>
      <c r="C174" s="0" t="s">
        <v>13</v>
      </c>
      <c r="D174" s="0" t="n">
        <v>0.001142</v>
      </c>
      <c r="E174" s="0" t="s">
        <v>14</v>
      </c>
      <c r="F174" s="0" t="n">
        <v>0.001025</v>
      </c>
      <c r="G174" s="0" t="s">
        <v>15</v>
      </c>
      <c r="H174" s="0" t="n">
        <v>1.115</v>
      </c>
      <c r="I174" s="0" t="s">
        <v>16</v>
      </c>
      <c r="J174" s="0" t="n">
        <v>0.265</v>
      </c>
      <c r="K174" s="0" t="s">
        <v>0</v>
      </c>
    </row>
    <row r="175" customFormat="false" ht="12.8" hidden="false" customHeight="false" outlineLevel="0" collapsed="false">
      <c r="A175" s="0" t="s">
        <v>17</v>
      </c>
      <c r="B175" s="0" t="n">
        <v>81165</v>
      </c>
      <c r="C175" s="0" t="s">
        <v>15</v>
      </c>
    </row>
    <row r="176" customFormat="false" ht="12.8" hidden="false" customHeight="false" outlineLevel="0" collapsed="false">
      <c r="A176" s="0" t="s">
        <v>19</v>
      </c>
      <c r="B176" s="0" t="n">
        <v>0.9808</v>
      </c>
      <c r="C176" s="0" t="s">
        <v>20</v>
      </c>
    </row>
    <row r="177" customFormat="false" ht="12.8" hidden="false" customHeight="false" outlineLevel="0" collapsed="false">
      <c r="A177" s="0" t="s">
        <v>19</v>
      </c>
      <c r="B177" s="0" t="n">
        <v>0.0314</v>
      </c>
      <c r="C177" s="0" t="s">
        <v>20</v>
      </c>
    </row>
    <row r="181" customFormat="false" ht="12.8" hidden="false" customHeight="false" outlineLevel="0" collapsed="false">
      <c r="A181" s="0" t="s">
        <v>5</v>
      </c>
    </row>
    <row r="182" customFormat="false" ht="12.8" hidden="false" customHeight="false" outlineLevel="0" collapsed="false">
      <c r="A182" s="0" t="s">
        <v>36</v>
      </c>
      <c r="B182" s="0" t="n">
        <v>12</v>
      </c>
      <c r="C182" s="0" t="s">
        <v>29</v>
      </c>
      <c r="D182" s="0" t="s">
        <v>8</v>
      </c>
    </row>
    <row r="183" customFormat="false" ht="12.8" hidden="false" customHeight="false" outlineLevel="0" collapsed="false">
      <c r="A183" s="0" t="s">
        <v>9</v>
      </c>
    </row>
    <row r="184" customFormat="false" ht="12.8" hidden="false" customHeight="false" outlineLevel="0" collapsed="false">
      <c r="A184" s="0" t="s">
        <v>54</v>
      </c>
    </row>
    <row r="185" customFormat="false" ht="12.8" hidden="false" customHeight="false" outlineLevel="0" collapsed="false">
      <c r="A185" s="0" t="s">
        <v>12</v>
      </c>
      <c r="B185" s="0" t="n">
        <v>12</v>
      </c>
      <c r="C185" s="0" t="s">
        <v>13</v>
      </c>
      <c r="D185" s="0" t="n">
        <v>0.0011983</v>
      </c>
      <c r="E185" s="0" t="s">
        <v>15</v>
      </c>
      <c r="F185" s="0" t="n">
        <v>0.0006986</v>
      </c>
      <c r="G185" s="0" t="s">
        <v>15</v>
      </c>
      <c r="H185" s="0" t="n">
        <v>1.715</v>
      </c>
      <c r="I185" s="0" t="s">
        <v>14</v>
      </c>
      <c r="J185" s="0" t="n">
        <v>0.0863</v>
      </c>
      <c r="K185" s="0" t="n">
        <v>0</v>
      </c>
    </row>
    <row r="186" customFormat="false" ht="12.8" hidden="false" customHeight="false" outlineLevel="0" collapsed="false">
      <c r="A186" s="0" t="s">
        <v>17</v>
      </c>
      <c r="B186" s="0" t="n">
        <v>81165</v>
      </c>
      <c r="C186" s="0" t="s">
        <v>15</v>
      </c>
    </row>
    <row r="187" customFormat="false" ht="12.8" hidden="false" customHeight="false" outlineLevel="0" collapsed="false">
      <c r="A187" s="0" t="s">
        <v>19</v>
      </c>
      <c r="B187" s="0" t="n">
        <v>0.9669</v>
      </c>
      <c r="C187" s="0" t="s">
        <v>20</v>
      </c>
    </row>
    <row r="188" customFormat="false" ht="12.8" hidden="false" customHeight="false" outlineLevel="0" collapsed="false">
      <c r="A188" s="0" t="s">
        <v>19</v>
      </c>
      <c r="B188" s="0" t="n">
        <v>0.03138</v>
      </c>
      <c r="C188" s="0" t="s">
        <v>20</v>
      </c>
    </row>
    <row r="192" customFormat="false" ht="12.8" hidden="false" customHeight="false" outlineLevel="0" collapsed="false">
      <c r="A192" s="0" t="s">
        <v>5</v>
      </c>
    </row>
    <row r="193" customFormat="false" ht="12.8" hidden="false" customHeight="false" outlineLevel="0" collapsed="false">
      <c r="A193" s="0" t="s">
        <v>40</v>
      </c>
      <c r="B193" s="0" t="n">
        <v>12</v>
      </c>
      <c r="C193" s="0" t="s">
        <v>7</v>
      </c>
      <c r="D193" s="0" t="s">
        <v>8</v>
      </c>
    </row>
    <row r="194" customFormat="false" ht="12.8" hidden="false" customHeight="false" outlineLevel="0" collapsed="false">
      <c r="A194" s="0" t="s">
        <v>9</v>
      </c>
    </row>
    <row r="195" customFormat="false" ht="12.8" hidden="false" customHeight="false" outlineLevel="0" collapsed="false">
      <c r="A195" s="0" t="s">
        <v>55</v>
      </c>
    </row>
    <row r="196" customFormat="false" ht="12.8" hidden="false" customHeight="false" outlineLevel="0" collapsed="false">
      <c r="A196" s="0" t="s">
        <v>12</v>
      </c>
      <c r="B196" s="0" t="n">
        <v>12</v>
      </c>
      <c r="C196" s="0" t="s">
        <v>13</v>
      </c>
      <c r="D196" s="0" t="n">
        <v>0.0007642</v>
      </c>
      <c r="E196" s="0" t="s">
        <v>15</v>
      </c>
      <c r="F196" s="0" t="n">
        <v>0.0005899</v>
      </c>
      <c r="G196" s="0" t="s">
        <v>15</v>
      </c>
      <c r="H196" s="0" t="n">
        <v>1.295</v>
      </c>
      <c r="I196" s="0" t="s">
        <v>16</v>
      </c>
      <c r="J196" s="0" t="n">
        <v>0.195</v>
      </c>
      <c r="K196" s="0" t="s">
        <v>0</v>
      </c>
    </row>
    <row r="197" customFormat="false" ht="12.8" hidden="false" customHeight="false" outlineLevel="0" collapsed="false">
      <c r="A197" s="0" t="s">
        <v>17</v>
      </c>
      <c r="B197" s="0" t="n">
        <v>81165</v>
      </c>
      <c r="C197" s="0" t="s">
        <v>15</v>
      </c>
    </row>
    <row r="198" customFormat="false" ht="12.8" hidden="false" customHeight="false" outlineLevel="0" collapsed="false">
      <c r="A198" s="0" t="s">
        <v>19</v>
      </c>
      <c r="B198" s="0" t="n">
        <v>0.9554</v>
      </c>
      <c r="C198" s="0" t="s">
        <v>20</v>
      </c>
    </row>
    <row r="199" customFormat="false" ht="12.8" hidden="false" customHeight="false" outlineLevel="0" collapsed="false">
      <c r="A199" s="0" t="s">
        <v>19</v>
      </c>
      <c r="B199" s="0" t="n">
        <v>0.0314</v>
      </c>
      <c r="C199" s="0" t="s">
        <v>20</v>
      </c>
    </row>
    <row r="203" customFormat="false" ht="12.8" hidden="false" customHeight="false" outlineLevel="0" collapsed="false">
      <c r="A203" s="0" t="s">
        <v>5</v>
      </c>
    </row>
    <row r="204" customFormat="false" ht="12.8" hidden="false" customHeight="false" outlineLevel="0" collapsed="false">
      <c r="A204" s="0" t="s">
        <v>41</v>
      </c>
      <c r="B204" s="0" t="n">
        <v>12</v>
      </c>
      <c r="C204" s="0" t="s">
        <v>29</v>
      </c>
      <c r="D204" s="0" t="s">
        <v>8</v>
      </c>
    </row>
    <row r="205" customFormat="false" ht="12.8" hidden="false" customHeight="false" outlineLevel="0" collapsed="false">
      <c r="A205" s="0" t="s">
        <v>9</v>
      </c>
    </row>
    <row r="206" customFormat="false" ht="12.8" hidden="false" customHeight="false" outlineLevel="0" collapsed="false">
      <c r="A206" s="0" t="s">
        <v>54</v>
      </c>
    </row>
    <row r="207" customFormat="false" ht="12.8" hidden="false" customHeight="false" outlineLevel="0" collapsed="false">
      <c r="A207" s="0" t="s">
        <v>12</v>
      </c>
      <c r="B207" s="0" t="n">
        <v>12</v>
      </c>
      <c r="C207" s="0" t="s">
        <v>13</v>
      </c>
      <c r="D207" s="0" t="n">
        <v>0.0004341</v>
      </c>
      <c r="E207" s="0" t="s">
        <v>15</v>
      </c>
      <c r="F207" s="0" t="n">
        <v>0.0002312</v>
      </c>
      <c r="G207" s="0" t="s">
        <v>15</v>
      </c>
      <c r="H207" s="0" t="n">
        <v>1.878</v>
      </c>
      <c r="I207" s="0" t="s">
        <v>14</v>
      </c>
      <c r="J207" s="0" t="n">
        <v>0.0604</v>
      </c>
      <c r="K207" s="0" t="n">
        <v>0</v>
      </c>
    </row>
    <row r="208" customFormat="false" ht="12.8" hidden="false" customHeight="false" outlineLevel="0" collapsed="false">
      <c r="A208" s="0" t="s">
        <v>17</v>
      </c>
      <c r="B208" s="0" t="n">
        <v>81165</v>
      </c>
      <c r="C208" s="0" t="s">
        <v>15</v>
      </c>
    </row>
    <row r="209" customFormat="false" ht="12.8" hidden="false" customHeight="false" outlineLevel="0" collapsed="false">
      <c r="A209" s="0" t="s">
        <v>19</v>
      </c>
      <c r="B209" s="0" t="n">
        <v>0.9772</v>
      </c>
      <c r="C209" s="0" t="s">
        <v>20</v>
      </c>
    </row>
    <row r="210" customFormat="false" ht="12.8" hidden="false" customHeight="false" outlineLevel="0" collapsed="false">
      <c r="A210" s="0" t="s">
        <v>19</v>
      </c>
      <c r="B210" s="0" t="n">
        <v>0.03137</v>
      </c>
      <c r="C210" s="0" t="s">
        <v>20</v>
      </c>
    </row>
    <row r="214" customFormat="false" ht="12.8" hidden="false" customHeight="false" outlineLevel="0" collapsed="false">
      <c r="A214" s="0" t="s">
        <v>5</v>
      </c>
    </row>
    <row r="215" customFormat="false" ht="12.8" hidden="false" customHeight="false" outlineLevel="0" collapsed="false">
      <c r="A215" s="0" t="s">
        <v>43</v>
      </c>
      <c r="B215" s="0" t="n">
        <v>12</v>
      </c>
      <c r="C215" s="0" t="s">
        <v>7</v>
      </c>
      <c r="D215" s="0" t="s">
        <v>8</v>
      </c>
    </row>
    <row r="216" customFormat="false" ht="12.8" hidden="false" customHeight="false" outlineLevel="0" collapsed="false">
      <c r="A216" s="0" t="s">
        <v>9</v>
      </c>
    </row>
    <row r="217" customFormat="false" ht="12.8" hidden="false" customHeight="false" outlineLevel="0" collapsed="false">
      <c r="A217" s="0" t="s">
        <v>11</v>
      </c>
    </row>
    <row r="218" customFormat="false" ht="12.8" hidden="false" customHeight="false" outlineLevel="0" collapsed="false">
      <c r="A218" s="0" t="s">
        <v>12</v>
      </c>
      <c r="B218" s="0" t="n">
        <v>12</v>
      </c>
      <c r="C218" s="0" t="s">
        <v>13</v>
      </c>
      <c r="D218" s="0" t="n">
        <v>0.0535</v>
      </c>
      <c r="E218" s="0" t="s">
        <v>16</v>
      </c>
      <c r="F218" s="0" t="n">
        <v>0.09027</v>
      </c>
      <c r="G218" s="0" t="s">
        <v>15</v>
      </c>
      <c r="H218" s="0" t="n">
        <v>0.593</v>
      </c>
      <c r="I218" s="0" t="s">
        <v>16</v>
      </c>
      <c r="J218" s="0" t="n">
        <v>0.553</v>
      </c>
      <c r="K218" s="0" t="s">
        <v>0</v>
      </c>
    </row>
    <row r="219" customFormat="false" ht="12.8" hidden="false" customHeight="false" outlineLevel="0" collapsed="false">
      <c r="A219" s="0" t="s">
        <v>17</v>
      </c>
      <c r="B219" s="0" t="n">
        <v>81165</v>
      </c>
      <c r="C219" s="0" t="s">
        <v>15</v>
      </c>
    </row>
    <row r="220" customFormat="false" ht="12.8" hidden="false" customHeight="false" outlineLevel="0" collapsed="false">
      <c r="A220" s="0" t="s">
        <v>19</v>
      </c>
      <c r="B220" s="0" t="n">
        <v>0.9395</v>
      </c>
      <c r="C220" s="0" t="s">
        <v>20</v>
      </c>
    </row>
    <row r="221" customFormat="false" ht="12.8" hidden="false" customHeight="false" outlineLevel="0" collapsed="false">
      <c r="A221" s="0" t="s">
        <v>19</v>
      </c>
      <c r="B221" s="0" t="n">
        <v>0.03141</v>
      </c>
      <c r="C221" s="0" t="s">
        <v>20</v>
      </c>
    </row>
    <row r="225" customFormat="false" ht="12.8" hidden="false" customHeight="false" outlineLevel="0" collapsed="false">
      <c r="A225" s="0" t="s">
        <v>5</v>
      </c>
    </row>
    <row r="226" customFormat="false" ht="12.8" hidden="false" customHeight="false" outlineLevel="0" collapsed="false">
      <c r="A226" s="0" t="s">
        <v>45</v>
      </c>
      <c r="B226" s="0" t="n">
        <v>12</v>
      </c>
      <c r="C226" s="0" t="s">
        <v>29</v>
      </c>
      <c r="D226" s="0" t="s">
        <v>8</v>
      </c>
    </row>
    <row r="227" customFormat="false" ht="12.8" hidden="false" customHeight="false" outlineLevel="0" collapsed="false">
      <c r="A227" s="0" t="s">
        <v>9</v>
      </c>
    </row>
    <row r="228" customFormat="false" ht="12.8" hidden="false" customHeight="false" outlineLevel="0" collapsed="false">
      <c r="A228" s="0" t="s">
        <v>11</v>
      </c>
    </row>
    <row r="229" customFormat="false" ht="12.8" hidden="false" customHeight="false" outlineLevel="0" collapsed="false">
      <c r="A229" s="0" t="s">
        <v>12</v>
      </c>
      <c r="B229" s="0" t="n">
        <v>12</v>
      </c>
      <c r="C229" s="0" t="s">
        <v>13</v>
      </c>
      <c r="D229" s="0" t="n">
        <v>0.04131</v>
      </c>
      <c r="E229" s="0" t="s">
        <v>16</v>
      </c>
      <c r="F229" s="0" t="n">
        <v>0.05481</v>
      </c>
      <c r="G229" s="0" t="s">
        <v>15</v>
      </c>
      <c r="H229" s="0" t="n">
        <v>0.754</v>
      </c>
      <c r="I229" s="0" t="s">
        <v>16</v>
      </c>
      <c r="J229" s="0" t="n">
        <v>0.451</v>
      </c>
      <c r="K229" s="0" t="s">
        <v>0</v>
      </c>
    </row>
    <row r="230" customFormat="false" ht="12.8" hidden="false" customHeight="false" outlineLevel="0" collapsed="false">
      <c r="A230" s="0" t="s">
        <v>17</v>
      </c>
      <c r="B230" s="0" t="n">
        <v>81165</v>
      </c>
      <c r="C230" s="0" t="s">
        <v>15</v>
      </c>
    </row>
    <row r="231" customFormat="false" ht="12.8" hidden="false" customHeight="false" outlineLevel="0" collapsed="false">
      <c r="A231" s="0" t="s">
        <v>19</v>
      </c>
      <c r="B231" s="0" t="n">
        <v>0.8956</v>
      </c>
      <c r="C231" s="0" t="s">
        <v>20</v>
      </c>
    </row>
    <row r="232" customFormat="false" ht="12.8" hidden="false" customHeight="false" outlineLevel="0" collapsed="false">
      <c r="A232" s="0" t="s">
        <v>19</v>
      </c>
      <c r="B232" s="0" t="n">
        <v>0.03141</v>
      </c>
      <c r="C232" s="0" t="s">
        <v>20</v>
      </c>
    </row>
    <row r="236" customFormat="false" ht="12.8" hidden="false" customHeight="false" outlineLevel="0" collapsed="false">
      <c r="A236" s="0" t="s">
        <v>5</v>
      </c>
    </row>
    <row r="237" customFormat="false" ht="12.8" hidden="false" customHeight="false" outlineLevel="0" collapsed="false">
      <c r="A237" s="0" t="s">
        <v>46</v>
      </c>
      <c r="B237" s="0" t="n">
        <v>12</v>
      </c>
      <c r="C237" s="0" t="s">
        <v>29</v>
      </c>
      <c r="D237" s="0" t="s">
        <v>8</v>
      </c>
    </row>
    <row r="238" customFormat="false" ht="12.8" hidden="false" customHeight="false" outlineLevel="0" collapsed="false">
      <c r="A238" s="0" t="s">
        <v>9</v>
      </c>
    </row>
    <row r="239" customFormat="false" ht="12.8" hidden="false" customHeight="false" outlineLevel="0" collapsed="false">
      <c r="A239" s="0" t="s">
        <v>11</v>
      </c>
    </row>
    <row r="240" customFormat="false" ht="12.8" hidden="false" customHeight="false" outlineLevel="0" collapsed="false">
      <c r="A240" s="0" t="s">
        <v>12</v>
      </c>
      <c r="B240" s="0" t="n">
        <v>12</v>
      </c>
      <c r="C240" s="0" t="s">
        <v>13</v>
      </c>
      <c r="D240" s="0" t="n">
        <v>0.01352</v>
      </c>
      <c r="E240" s="0" t="s">
        <v>16</v>
      </c>
      <c r="F240" s="0" t="n">
        <v>0.03412</v>
      </c>
      <c r="G240" s="0" t="s">
        <v>15</v>
      </c>
      <c r="H240" s="0" t="n">
        <v>0.396</v>
      </c>
      <c r="I240" s="0" t="s">
        <v>16</v>
      </c>
      <c r="J240" s="0" t="n">
        <v>0.692</v>
      </c>
      <c r="K240" s="0" t="s">
        <v>0</v>
      </c>
    </row>
    <row r="241" customFormat="false" ht="12.8" hidden="false" customHeight="false" outlineLevel="0" collapsed="false">
      <c r="A241" s="0" t="s">
        <v>17</v>
      </c>
      <c r="B241" s="0" t="n">
        <v>81165</v>
      </c>
      <c r="C241" s="0" t="s">
        <v>15</v>
      </c>
    </row>
    <row r="242" customFormat="false" ht="12.8" hidden="false" customHeight="false" outlineLevel="0" collapsed="false">
      <c r="A242" s="0" t="s">
        <v>19</v>
      </c>
      <c r="B242" s="0" t="n">
        <v>0.9348</v>
      </c>
      <c r="C242" s="0" t="s">
        <v>20</v>
      </c>
    </row>
    <row r="243" customFormat="false" ht="12.8" hidden="false" customHeight="false" outlineLevel="0" collapsed="false">
      <c r="A243" s="0" t="s">
        <v>19</v>
      </c>
      <c r="B243" s="0" t="n">
        <v>0.03142</v>
      </c>
      <c r="C243" s="0" t="s">
        <v>20</v>
      </c>
    </row>
    <row r="247" customFormat="false" ht="12.8" hidden="false" customHeight="false" outlineLevel="0" collapsed="false">
      <c r="A247" s="0" t="s">
        <v>5</v>
      </c>
    </row>
    <row r="248" customFormat="false" ht="12.8" hidden="false" customHeight="false" outlineLevel="0" collapsed="false">
      <c r="A248" s="0" t="s">
        <v>47</v>
      </c>
      <c r="B248" s="0" t="n">
        <v>12</v>
      </c>
      <c r="C248" s="0" t="s">
        <v>29</v>
      </c>
      <c r="D248" s="0" t="s">
        <v>8</v>
      </c>
    </row>
    <row r="249" customFormat="false" ht="12.8" hidden="false" customHeight="false" outlineLevel="0" collapsed="false">
      <c r="A249" s="0" t="s">
        <v>9</v>
      </c>
    </row>
    <row r="250" customFormat="false" ht="12.8" hidden="false" customHeight="false" outlineLevel="0" collapsed="false">
      <c r="A250" s="0" t="s">
        <v>11</v>
      </c>
    </row>
    <row r="251" customFormat="false" ht="12.8" hidden="false" customHeight="false" outlineLevel="0" collapsed="false">
      <c r="A251" s="0" t="s">
        <v>12</v>
      </c>
      <c r="B251" s="0" t="n">
        <v>12</v>
      </c>
      <c r="C251" s="0" t="s">
        <v>56</v>
      </c>
      <c r="D251" s="0" t="n">
        <v>3.223</v>
      </c>
      <c r="E251" s="0" t="s">
        <v>49</v>
      </c>
      <c r="F251" s="0" t="n">
        <v>4.687</v>
      </c>
      <c r="G251" s="0" t="s">
        <v>14</v>
      </c>
      <c r="H251" s="0" t="n">
        <v>0.688</v>
      </c>
      <c r="I251" s="0" t="s">
        <v>16</v>
      </c>
      <c r="J251" s="0" t="n">
        <v>0.492</v>
      </c>
      <c r="K251" s="0" t="s">
        <v>0</v>
      </c>
    </row>
    <row r="252" customFormat="false" ht="12.8" hidden="false" customHeight="false" outlineLevel="0" collapsed="false">
      <c r="A252" s="0" t="s">
        <v>17</v>
      </c>
      <c r="B252" s="0" t="n">
        <v>80203</v>
      </c>
      <c r="C252" s="0" t="s">
        <v>15</v>
      </c>
    </row>
    <row r="253" customFormat="false" ht="12.8" hidden="false" customHeight="false" outlineLevel="0" collapsed="false">
      <c r="A253" s="0" t="s">
        <v>19</v>
      </c>
      <c r="B253" s="0" t="n">
        <v>0.9298</v>
      </c>
      <c r="C253" s="0" t="s">
        <v>20</v>
      </c>
    </row>
    <row r="254" customFormat="false" ht="12.8" hidden="false" customHeight="false" outlineLevel="0" collapsed="false">
      <c r="A254" s="0" t="s">
        <v>19</v>
      </c>
      <c r="B254" s="0" t="n">
        <v>0.03179</v>
      </c>
      <c r="C254" s="0" t="s">
        <v>20</v>
      </c>
    </row>
    <row r="258" customFormat="false" ht="12.8" hidden="false" customHeight="false" outlineLevel="0" collapsed="false">
      <c r="A258" s="0" t="s">
        <v>5</v>
      </c>
    </row>
    <row r="259" customFormat="false" ht="12.8" hidden="false" customHeight="false" outlineLevel="0" collapsed="false">
      <c r="A259" s="0" t="s">
        <v>50</v>
      </c>
      <c r="B259" s="0" t="n">
        <v>12</v>
      </c>
      <c r="C259" s="0" t="s">
        <v>29</v>
      </c>
      <c r="D259" s="0" t="s">
        <v>8</v>
      </c>
    </row>
    <row r="260" customFormat="false" ht="12.8" hidden="false" customHeight="false" outlineLevel="0" collapsed="false">
      <c r="A260" s="0" t="s">
        <v>9</v>
      </c>
    </row>
    <row r="261" customFormat="false" ht="12.8" hidden="false" customHeight="false" outlineLevel="0" collapsed="false">
      <c r="A261" s="0" t="s">
        <v>11</v>
      </c>
    </row>
    <row r="262" customFormat="false" ht="12.8" hidden="false" customHeight="false" outlineLevel="0" collapsed="false">
      <c r="A262" s="0" t="s">
        <v>12</v>
      </c>
      <c r="B262" s="0" t="n">
        <v>12</v>
      </c>
      <c r="C262" s="0" t="s">
        <v>48</v>
      </c>
      <c r="D262" s="0" t="n">
        <v>0.934</v>
      </c>
      <c r="E262" s="0" t="s">
        <v>49</v>
      </c>
      <c r="F262" s="0" t="n">
        <v>3.2</v>
      </c>
      <c r="G262" s="0" t="s">
        <v>15</v>
      </c>
      <c r="H262" s="0" t="n">
        <v>0.292</v>
      </c>
      <c r="I262" s="0" t="s">
        <v>25</v>
      </c>
      <c r="J262" s="0" t="n">
        <v>0.77</v>
      </c>
      <c r="K262" s="0" t="s">
        <v>0</v>
      </c>
    </row>
    <row r="263" customFormat="false" ht="12.8" hidden="false" customHeight="false" outlineLevel="0" collapsed="false">
      <c r="A263" s="0" t="s">
        <v>17</v>
      </c>
      <c r="B263" s="0" t="n">
        <v>80203</v>
      </c>
      <c r="C263" s="0" t="s">
        <v>15</v>
      </c>
    </row>
    <row r="264" customFormat="false" ht="12.8" hidden="false" customHeight="false" outlineLevel="0" collapsed="false">
      <c r="A264" s="0" t="s">
        <v>19</v>
      </c>
      <c r="B264" s="0" t="n">
        <v>0.8767</v>
      </c>
      <c r="C264" s="0" t="s">
        <v>20</v>
      </c>
    </row>
    <row r="265" customFormat="false" ht="12.8" hidden="false" customHeight="false" outlineLevel="0" collapsed="false">
      <c r="A265" s="0" t="s">
        <v>19</v>
      </c>
      <c r="B265" s="0" t="n">
        <v>0.03179</v>
      </c>
      <c r="C265" s="0" t="s">
        <v>20</v>
      </c>
    </row>
    <row r="269" customFormat="false" ht="12.8" hidden="false" customHeight="false" outlineLevel="0" collapsed="false">
      <c r="A269" s="0" t="s">
        <v>5</v>
      </c>
    </row>
    <row r="270" customFormat="false" ht="12.8" hidden="false" customHeight="false" outlineLevel="0" collapsed="false">
      <c r="A270" s="0" t="s">
        <v>52</v>
      </c>
      <c r="B270" s="0" t="n">
        <v>12</v>
      </c>
      <c r="C270" s="0" t="s">
        <v>29</v>
      </c>
      <c r="D270" s="0" t="s">
        <v>8</v>
      </c>
    </row>
    <row r="271" customFormat="false" ht="12.8" hidden="false" customHeight="false" outlineLevel="0" collapsed="false">
      <c r="A271" s="0" t="s">
        <v>9</v>
      </c>
    </row>
    <row r="272" customFormat="false" ht="12.8" hidden="false" customHeight="false" outlineLevel="0" collapsed="false">
      <c r="A272" s="0" t="s">
        <v>11</v>
      </c>
    </row>
    <row r="273" customFormat="false" ht="12.8" hidden="false" customHeight="false" outlineLevel="0" collapsed="false">
      <c r="A273" s="0" t="s">
        <v>12</v>
      </c>
      <c r="B273" s="0" t="n">
        <v>12</v>
      </c>
      <c r="C273" s="0" t="s">
        <v>56</v>
      </c>
      <c r="D273" s="0" t="n">
        <v>3.683</v>
      </c>
      <c r="E273" s="0" t="s">
        <v>49</v>
      </c>
      <c r="F273" s="0" t="n">
        <v>4.647</v>
      </c>
      <c r="G273" s="0" t="s">
        <v>14</v>
      </c>
      <c r="H273" s="0" t="n">
        <v>0.793</v>
      </c>
      <c r="I273" s="0" t="s">
        <v>16</v>
      </c>
      <c r="J273" s="0" t="n">
        <v>0.428</v>
      </c>
      <c r="K273" s="0" t="s">
        <v>0</v>
      </c>
    </row>
    <row r="274" customFormat="false" ht="12.8" hidden="false" customHeight="false" outlineLevel="0" collapsed="false">
      <c r="A274" s="0" t="s">
        <v>17</v>
      </c>
      <c r="B274" s="0" t="n">
        <v>80203</v>
      </c>
      <c r="C274" s="0" t="s">
        <v>15</v>
      </c>
    </row>
    <row r="275" customFormat="false" ht="12.8" hidden="false" customHeight="false" outlineLevel="0" collapsed="false">
      <c r="A275" s="0" t="s">
        <v>57</v>
      </c>
      <c r="B275" s="0" t="n">
        <v>0.93</v>
      </c>
      <c r="C275" s="0" t="s">
        <v>20</v>
      </c>
    </row>
    <row r="276" customFormat="false" ht="12.8" hidden="false" customHeight="false" outlineLevel="0" collapsed="false">
      <c r="A276" s="0" t="s">
        <v>19</v>
      </c>
      <c r="B276" s="0" t="n">
        <v>0.03179</v>
      </c>
      <c r="C276" s="0" t="s">
        <v>20</v>
      </c>
    </row>
    <row r="280" customFormat="false" ht="12.8" hidden="false" customHeight="false" outlineLevel="0" collapsed="false">
      <c r="A280" s="0" t="s">
        <v>5</v>
      </c>
    </row>
    <row r="281" customFormat="false" ht="12.8" hidden="false" customHeight="false" outlineLevel="0" collapsed="false">
      <c r="A281" s="0" t="s">
        <v>53</v>
      </c>
      <c r="B281" s="0" t="n">
        <v>12</v>
      </c>
      <c r="C281" s="0" t="s">
        <v>29</v>
      </c>
      <c r="D281" s="0" t="s">
        <v>8</v>
      </c>
    </row>
    <row r="282" customFormat="false" ht="12.8" hidden="false" customHeight="false" outlineLevel="0" collapsed="false">
      <c r="A282" s="0" t="s">
        <v>9</v>
      </c>
    </row>
    <row r="283" customFormat="false" ht="12.8" hidden="false" customHeight="false" outlineLevel="0" collapsed="false">
      <c r="A283" s="0" t="s">
        <v>11</v>
      </c>
    </row>
    <row r="284" customFormat="false" ht="12.8" hidden="false" customHeight="false" outlineLevel="0" collapsed="false">
      <c r="A284" s="0" t="s">
        <v>12</v>
      </c>
      <c r="B284" s="0" t="n">
        <v>12</v>
      </c>
      <c r="C284" s="0" t="s">
        <v>48</v>
      </c>
      <c r="D284" s="0" t="n">
        <v>1.083</v>
      </c>
      <c r="E284" s="0" t="s">
        <v>49</v>
      </c>
      <c r="F284" s="0" t="n">
        <v>3.113</v>
      </c>
      <c r="G284" s="0" t="s">
        <v>15</v>
      </c>
      <c r="H284" s="0" t="n">
        <v>0.348</v>
      </c>
      <c r="I284" s="0" t="s">
        <v>16</v>
      </c>
      <c r="J284" s="0" t="n">
        <v>0.728</v>
      </c>
      <c r="K284" s="0" t="s">
        <v>0</v>
      </c>
    </row>
    <row r="285" customFormat="false" ht="12.8" hidden="false" customHeight="false" outlineLevel="0" collapsed="false">
      <c r="A285" s="0" t="s">
        <v>17</v>
      </c>
      <c r="B285" s="0" t="n">
        <v>80203</v>
      </c>
      <c r="C285" s="0" t="s">
        <v>15</v>
      </c>
    </row>
    <row r="286" customFormat="false" ht="12.8" hidden="false" customHeight="false" outlineLevel="0" collapsed="false">
      <c r="A286" s="0" t="s">
        <v>57</v>
      </c>
      <c r="B286" s="0" t="n">
        <v>0.88</v>
      </c>
      <c r="C286" s="0" t="s">
        <v>20</v>
      </c>
    </row>
    <row r="287" customFormat="false" ht="12.8" hidden="false" customHeight="false" outlineLevel="0" collapsed="false">
      <c r="A287" s="0" t="s">
        <v>19</v>
      </c>
      <c r="B287" s="0" t="n">
        <v>0.03179</v>
      </c>
      <c r="C287" s="0" t="s">
        <v>20</v>
      </c>
    </row>
    <row r="288" customFormat="false" ht="12.8" hidden="false" customHeight="false" outlineLevel="0" collapsed="false">
      <c r="A288" s="0" t="s">
        <v>0</v>
      </c>
    </row>
    <row r="291" customFormat="false" ht="12.8" hidden="false" customHeight="false" outlineLevel="0" collapsed="false">
      <c r="A291" s="0" t="s">
        <v>5</v>
      </c>
    </row>
    <row r="292" customFormat="false" ht="12.8" hidden="false" customHeight="false" outlineLevel="0" collapsed="false">
      <c r="A292" s="0" t="s">
        <v>6</v>
      </c>
      <c r="B292" s="0" t="n">
        <v>24</v>
      </c>
      <c r="C292" s="0" t="s">
        <v>7</v>
      </c>
      <c r="D292" s="0" t="s">
        <v>8</v>
      </c>
    </row>
    <row r="293" customFormat="false" ht="12.8" hidden="false" customHeight="false" outlineLevel="0" collapsed="false">
      <c r="A293" s="0" t="s">
        <v>9</v>
      </c>
    </row>
    <row r="294" customFormat="false" ht="12.8" hidden="false" customHeight="false" outlineLevel="0" collapsed="false">
      <c r="A294" s="0" t="s">
        <v>58</v>
      </c>
    </row>
    <row r="295" customFormat="false" ht="12.8" hidden="false" customHeight="false" outlineLevel="0" collapsed="false">
      <c r="A295" s="0" t="s">
        <v>12</v>
      </c>
      <c r="B295" s="0" t="n">
        <v>24</v>
      </c>
      <c r="C295" s="0" t="s">
        <v>13</v>
      </c>
      <c r="D295" s="0" t="n">
        <v>0.004514</v>
      </c>
      <c r="E295" s="0" t="s">
        <v>14</v>
      </c>
      <c r="F295" s="0" t="n">
        <v>0.002172</v>
      </c>
      <c r="G295" s="0" t="s">
        <v>15</v>
      </c>
      <c r="H295" s="0" t="n">
        <v>2.078</v>
      </c>
      <c r="I295" s="0" t="s">
        <v>14</v>
      </c>
      <c r="J295" s="0" t="n">
        <v>0.0377</v>
      </c>
      <c r="K295" s="0" t="s">
        <v>59</v>
      </c>
    </row>
    <row r="296" customFormat="false" ht="12.8" hidden="false" customHeight="false" outlineLevel="0" collapsed="false">
      <c r="A296" s="0" t="s">
        <v>17</v>
      </c>
      <c r="B296" s="0" t="n">
        <v>54476</v>
      </c>
      <c r="C296" s="0" t="s">
        <v>15</v>
      </c>
    </row>
    <row r="297" customFormat="false" ht="12.8" hidden="false" customHeight="false" outlineLevel="0" collapsed="false">
      <c r="A297" s="0" t="s">
        <v>19</v>
      </c>
      <c r="B297" s="0" t="n">
        <v>0.9838</v>
      </c>
      <c r="C297" s="0" t="s">
        <v>20</v>
      </c>
    </row>
    <row r="298" customFormat="false" ht="12.8" hidden="false" customHeight="false" outlineLevel="0" collapsed="false">
      <c r="A298" s="0" t="s">
        <v>19</v>
      </c>
      <c r="B298" s="0" t="n">
        <v>0.04651</v>
      </c>
      <c r="C298" s="0" t="s">
        <v>20</v>
      </c>
    </row>
    <row r="302" customFormat="false" ht="12.8" hidden="false" customHeight="false" outlineLevel="0" collapsed="false">
      <c r="A302" s="0" t="s">
        <v>5</v>
      </c>
    </row>
    <row r="303" customFormat="false" ht="12.8" hidden="false" customHeight="false" outlineLevel="0" collapsed="false">
      <c r="A303" s="0" t="s">
        <v>23</v>
      </c>
      <c r="B303" s="0" t="n">
        <v>24</v>
      </c>
      <c r="C303" s="0" t="s">
        <v>29</v>
      </c>
      <c r="D303" s="0" t="s">
        <v>8</v>
      </c>
    </row>
    <row r="304" customFormat="false" ht="12.8" hidden="false" customHeight="false" outlineLevel="0" collapsed="false">
      <c r="A304" s="0" t="s">
        <v>9</v>
      </c>
    </row>
    <row r="305" customFormat="false" ht="12.8" hidden="false" customHeight="false" outlineLevel="0" collapsed="false">
      <c r="A305" s="0" t="s">
        <v>58</v>
      </c>
    </row>
    <row r="306" customFormat="false" ht="12.8" hidden="false" customHeight="false" outlineLevel="0" collapsed="false">
      <c r="A306" s="0" t="s">
        <v>12</v>
      </c>
      <c r="B306" s="0" t="n">
        <v>24</v>
      </c>
      <c r="C306" s="0" t="s">
        <v>13</v>
      </c>
      <c r="D306" s="0" t="n">
        <v>0.00353</v>
      </c>
      <c r="E306" s="0" t="s">
        <v>14</v>
      </c>
      <c r="F306" s="0" t="n">
        <v>0.001929</v>
      </c>
      <c r="G306" s="0" t="s">
        <v>15</v>
      </c>
      <c r="H306" s="0" t="n">
        <v>1.829</v>
      </c>
      <c r="I306" s="0" t="s">
        <v>14</v>
      </c>
      <c r="J306" s="0" t="n">
        <v>0.0673</v>
      </c>
      <c r="K306" s="0" t="n">
        <v>0</v>
      </c>
    </row>
    <row r="307" customFormat="false" ht="12.8" hidden="false" customHeight="false" outlineLevel="0" collapsed="false">
      <c r="A307" s="0" t="s">
        <v>17</v>
      </c>
      <c r="B307" s="0" t="n">
        <v>54476</v>
      </c>
      <c r="C307" s="0" t="s">
        <v>15</v>
      </c>
    </row>
    <row r="308" customFormat="false" ht="12.8" hidden="false" customHeight="false" outlineLevel="0" collapsed="false">
      <c r="A308" s="0" t="s">
        <v>19</v>
      </c>
      <c r="B308" s="0" t="n">
        <v>0.976</v>
      </c>
      <c r="C308" s="0" t="s">
        <v>20</v>
      </c>
    </row>
    <row r="309" customFormat="false" ht="12.8" hidden="false" customHeight="false" outlineLevel="0" collapsed="false">
      <c r="A309" s="0" t="s">
        <v>19</v>
      </c>
      <c r="B309" s="0" t="n">
        <v>0.04653</v>
      </c>
      <c r="C309" s="0" t="s">
        <v>20</v>
      </c>
    </row>
    <row r="313" customFormat="false" ht="12.8" hidden="false" customHeight="false" outlineLevel="0" collapsed="false">
      <c r="A313" s="0" t="s">
        <v>5</v>
      </c>
    </row>
    <row r="314" customFormat="false" ht="12.8" hidden="false" customHeight="false" outlineLevel="0" collapsed="false">
      <c r="A314" s="0" t="s">
        <v>28</v>
      </c>
      <c r="B314" s="0" t="n">
        <v>24</v>
      </c>
      <c r="C314" s="0" t="s">
        <v>29</v>
      </c>
      <c r="D314" s="0" t="s">
        <v>8</v>
      </c>
    </row>
    <row r="315" customFormat="false" ht="12.8" hidden="false" customHeight="false" outlineLevel="0" collapsed="false">
      <c r="A315" s="0" t="s">
        <v>9</v>
      </c>
    </row>
    <row r="316" customFormat="false" ht="12.8" hidden="false" customHeight="false" outlineLevel="0" collapsed="false">
      <c r="A316" s="0" t="s">
        <v>54</v>
      </c>
    </row>
    <row r="317" customFormat="false" ht="12.8" hidden="false" customHeight="false" outlineLevel="0" collapsed="false">
      <c r="A317" s="0" t="s">
        <v>12</v>
      </c>
      <c r="B317" s="0" t="n">
        <v>24</v>
      </c>
      <c r="C317" s="0" t="s">
        <v>13</v>
      </c>
      <c r="D317" s="0" t="n">
        <v>0.0009843</v>
      </c>
      <c r="E317" s="0" t="s">
        <v>15</v>
      </c>
      <c r="F317" s="0" t="n">
        <v>0.0005958</v>
      </c>
      <c r="G317" s="0" t="s">
        <v>15</v>
      </c>
      <c r="H317" s="0" t="n">
        <v>1.652</v>
      </c>
      <c r="I317" s="0" t="s">
        <v>14</v>
      </c>
      <c r="J317" s="0" t="n">
        <v>0.0985</v>
      </c>
      <c r="K317" s="0" t="n">
        <v>0</v>
      </c>
    </row>
    <row r="318" customFormat="false" ht="12.8" hidden="false" customHeight="false" outlineLevel="0" collapsed="false">
      <c r="A318" s="0" t="s">
        <v>17</v>
      </c>
      <c r="B318" s="0" t="n">
        <v>54476</v>
      </c>
      <c r="C318" s="0" t="s">
        <v>15</v>
      </c>
    </row>
    <row r="319" customFormat="false" ht="12.8" hidden="false" customHeight="false" outlineLevel="0" collapsed="false">
      <c r="A319" s="0" t="s">
        <v>19</v>
      </c>
      <c r="B319" s="0" t="n">
        <v>0.9924</v>
      </c>
      <c r="C319" s="0" t="s">
        <v>20</v>
      </c>
    </row>
    <row r="320" customFormat="false" ht="12.8" hidden="false" customHeight="false" outlineLevel="0" collapsed="false">
      <c r="A320" s="0" t="s">
        <v>19</v>
      </c>
      <c r="B320" s="0" t="n">
        <v>0.04654</v>
      </c>
      <c r="C320" s="0" t="s">
        <v>20</v>
      </c>
    </row>
    <row r="324" customFormat="false" ht="12.8" hidden="false" customHeight="false" outlineLevel="0" collapsed="false">
      <c r="A324" s="0" t="s">
        <v>5</v>
      </c>
    </row>
    <row r="325" customFormat="false" ht="12.8" hidden="false" customHeight="false" outlineLevel="0" collapsed="false">
      <c r="A325" s="0" t="s">
        <v>36</v>
      </c>
      <c r="B325" s="0" t="n">
        <v>24</v>
      </c>
      <c r="C325" s="0" t="s">
        <v>29</v>
      </c>
      <c r="D325" s="0" t="s">
        <v>8</v>
      </c>
    </row>
    <row r="326" customFormat="false" ht="12.8" hidden="false" customHeight="false" outlineLevel="0" collapsed="false">
      <c r="A326" s="0" t="s">
        <v>9</v>
      </c>
    </row>
    <row r="327" customFormat="false" ht="12.8" hidden="false" customHeight="false" outlineLevel="0" collapsed="false">
      <c r="A327" s="0" t="s">
        <v>54</v>
      </c>
    </row>
    <row r="328" customFormat="false" ht="12.8" hidden="false" customHeight="false" outlineLevel="0" collapsed="false">
      <c r="A328" s="0" t="s">
        <v>12</v>
      </c>
      <c r="B328" s="0" t="n">
        <v>24</v>
      </c>
      <c r="C328" s="0" t="s">
        <v>13</v>
      </c>
      <c r="D328" s="0" t="n">
        <v>0.0014631</v>
      </c>
      <c r="E328" s="0" t="s">
        <v>15</v>
      </c>
      <c r="F328" s="0" t="n">
        <v>0.0005951</v>
      </c>
      <c r="G328" s="0" t="s">
        <v>15</v>
      </c>
      <c r="H328" s="0" t="n">
        <v>2.458</v>
      </c>
      <c r="I328" s="0" t="s">
        <v>16</v>
      </c>
      <c r="J328" s="0" t="n">
        <v>0.014</v>
      </c>
      <c r="K328" s="0" t="s">
        <v>59</v>
      </c>
    </row>
    <row r="329" customFormat="false" ht="12.8" hidden="false" customHeight="false" outlineLevel="0" collapsed="false">
      <c r="A329" s="0" t="s">
        <v>17</v>
      </c>
      <c r="B329" s="0" t="n">
        <v>54476</v>
      </c>
      <c r="C329" s="0" t="s">
        <v>15</v>
      </c>
    </row>
    <row r="330" customFormat="false" ht="12.8" hidden="false" customHeight="false" outlineLevel="0" collapsed="false">
      <c r="A330" s="0" t="s">
        <v>19</v>
      </c>
      <c r="B330" s="0" t="n">
        <v>0.9718</v>
      </c>
      <c r="C330" s="0" t="s">
        <v>20</v>
      </c>
    </row>
    <row r="331" customFormat="false" ht="12.8" hidden="false" customHeight="false" outlineLevel="0" collapsed="false">
      <c r="A331" s="0" t="s">
        <v>19</v>
      </c>
      <c r="B331" s="0" t="n">
        <v>0.04647</v>
      </c>
      <c r="C331" s="0" t="s">
        <v>20</v>
      </c>
    </row>
    <row r="335" customFormat="false" ht="12.8" hidden="false" customHeight="false" outlineLevel="0" collapsed="false">
      <c r="A335" s="0" t="s">
        <v>5</v>
      </c>
    </row>
    <row r="336" customFormat="false" ht="12.8" hidden="false" customHeight="false" outlineLevel="0" collapsed="false">
      <c r="A336" s="0" t="s">
        <v>40</v>
      </c>
      <c r="B336" s="0" t="n">
        <v>24</v>
      </c>
      <c r="C336" s="0" t="s">
        <v>7</v>
      </c>
      <c r="D336" s="0" t="s">
        <v>8</v>
      </c>
    </row>
    <row r="337" customFormat="false" ht="12.8" hidden="false" customHeight="false" outlineLevel="0" collapsed="false">
      <c r="A337" s="0" t="s">
        <v>9</v>
      </c>
    </row>
    <row r="338" customFormat="false" ht="12.8" hidden="false" customHeight="false" outlineLevel="0" collapsed="false">
      <c r="A338" s="0" t="s">
        <v>54</v>
      </c>
    </row>
    <row r="339" customFormat="false" ht="12.8" hidden="false" customHeight="false" outlineLevel="0" collapsed="false">
      <c r="A339" s="0" t="s">
        <v>12</v>
      </c>
      <c r="B339" s="0" t="n">
        <v>24</v>
      </c>
      <c r="C339" s="0" t="s">
        <v>13</v>
      </c>
      <c r="D339" s="0" t="n">
        <v>0.0011008</v>
      </c>
      <c r="E339" s="0" t="s">
        <v>15</v>
      </c>
      <c r="F339" s="0" t="n">
        <v>0.0005208</v>
      </c>
      <c r="G339" s="0" t="s">
        <v>15</v>
      </c>
      <c r="H339" s="0" t="n">
        <v>2.114</v>
      </c>
      <c r="I339" s="0" t="s">
        <v>14</v>
      </c>
      <c r="J339" s="0" t="n">
        <v>0.0345</v>
      </c>
      <c r="K339" s="0" t="s">
        <v>59</v>
      </c>
    </row>
    <row r="340" customFormat="false" ht="12.8" hidden="false" customHeight="false" outlineLevel="0" collapsed="false">
      <c r="A340" s="0" t="s">
        <v>17</v>
      </c>
      <c r="B340" s="0" t="n">
        <v>54476</v>
      </c>
      <c r="C340" s="0" t="s">
        <v>15</v>
      </c>
    </row>
    <row r="341" customFormat="false" ht="12.8" hidden="false" customHeight="false" outlineLevel="0" collapsed="false">
      <c r="A341" s="0" t="s">
        <v>19</v>
      </c>
      <c r="B341" s="0" t="n">
        <v>0.9594</v>
      </c>
      <c r="C341" s="0" t="s">
        <v>20</v>
      </c>
    </row>
    <row r="342" customFormat="false" ht="12.8" hidden="false" customHeight="false" outlineLevel="0" collapsed="false">
      <c r="A342" s="0" t="s">
        <v>19</v>
      </c>
      <c r="B342" s="0" t="n">
        <v>0.0465</v>
      </c>
      <c r="C342" s="0" t="s">
        <v>20</v>
      </c>
    </row>
    <row r="346" customFormat="false" ht="12.8" hidden="false" customHeight="false" outlineLevel="0" collapsed="false">
      <c r="A346" s="0" t="s">
        <v>5</v>
      </c>
    </row>
    <row r="347" customFormat="false" ht="12.8" hidden="false" customHeight="false" outlineLevel="0" collapsed="false">
      <c r="A347" s="0" t="s">
        <v>41</v>
      </c>
      <c r="B347" s="0" t="n">
        <v>24</v>
      </c>
      <c r="C347" s="0" t="s">
        <v>29</v>
      </c>
      <c r="D347" s="0" t="s">
        <v>8</v>
      </c>
    </row>
    <row r="348" customFormat="false" ht="12.8" hidden="false" customHeight="false" outlineLevel="0" collapsed="false">
      <c r="A348" s="0" t="s">
        <v>9</v>
      </c>
    </row>
    <row r="349" customFormat="false" ht="12.8" hidden="false" customHeight="false" outlineLevel="0" collapsed="false">
      <c r="A349" s="0" t="s">
        <v>54</v>
      </c>
    </row>
    <row r="350" customFormat="false" ht="12.8" hidden="false" customHeight="false" outlineLevel="0" collapsed="false">
      <c r="A350" s="0" t="s">
        <v>12</v>
      </c>
      <c r="B350" s="0" t="n">
        <v>24</v>
      </c>
      <c r="C350" s="0" t="s">
        <v>13</v>
      </c>
      <c r="D350" s="0" t="n">
        <v>0.0003622</v>
      </c>
      <c r="E350" s="0" t="s">
        <v>15</v>
      </c>
      <c r="F350" s="0" t="n">
        <v>0.0001522</v>
      </c>
      <c r="G350" s="0" t="s">
        <v>14</v>
      </c>
      <c r="H350" s="0" t="n">
        <v>2.38</v>
      </c>
      <c r="I350" s="0" t="s">
        <v>14</v>
      </c>
      <c r="J350" s="0" t="n">
        <v>0.0173</v>
      </c>
      <c r="K350" s="0" t="s">
        <v>59</v>
      </c>
    </row>
    <row r="351" customFormat="false" ht="12.8" hidden="false" customHeight="false" outlineLevel="0" collapsed="false">
      <c r="A351" s="0" t="s">
        <v>17</v>
      </c>
      <c r="B351" s="0" t="n">
        <v>54476</v>
      </c>
      <c r="C351" s="0" t="s">
        <v>15</v>
      </c>
    </row>
    <row r="352" customFormat="false" ht="12.8" hidden="false" customHeight="false" outlineLevel="0" collapsed="false">
      <c r="A352" s="0" t="s">
        <v>19</v>
      </c>
      <c r="B352" s="0" t="n">
        <v>0.9884</v>
      </c>
      <c r="C352" s="0" t="s">
        <v>20</v>
      </c>
    </row>
    <row r="353" customFormat="false" ht="12.8" hidden="false" customHeight="false" outlineLevel="0" collapsed="false">
      <c r="A353" s="0" t="s">
        <v>19</v>
      </c>
      <c r="B353" s="0" t="n">
        <v>0.04648</v>
      </c>
      <c r="C353" s="0" t="s">
        <v>20</v>
      </c>
    </row>
    <row r="357" customFormat="false" ht="12.8" hidden="false" customHeight="false" outlineLevel="0" collapsed="false">
      <c r="A357" s="0" t="s">
        <v>5</v>
      </c>
    </row>
    <row r="358" customFormat="false" ht="12.8" hidden="false" customHeight="false" outlineLevel="0" collapsed="false">
      <c r="A358" s="0" t="s">
        <v>43</v>
      </c>
      <c r="B358" s="0" t="n">
        <v>24</v>
      </c>
      <c r="C358" s="0" t="s">
        <v>7</v>
      </c>
      <c r="D358" s="0" t="s">
        <v>8</v>
      </c>
    </row>
    <row r="359" customFormat="false" ht="12.8" hidden="false" customHeight="false" outlineLevel="0" collapsed="false">
      <c r="A359" s="0" t="s">
        <v>9</v>
      </c>
    </row>
    <row r="360" customFormat="false" ht="12.8" hidden="false" customHeight="false" outlineLevel="0" collapsed="false">
      <c r="A360" s="0" t="s">
        <v>11</v>
      </c>
    </row>
    <row r="361" customFormat="false" ht="12.8" hidden="false" customHeight="false" outlineLevel="0" collapsed="false">
      <c r="A361" s="0" t="s">
        <v>12</v>
      </c>
      <c r="B361" s="0" t="n">
        <v>24</v>
      </c>
      <c r="C361" s="0" t="s">
        <v>13</v>
      </c>
      <c r="D361" s="0" t="n">
        <v>0.073</v>
      </c>
      <c r="E361" s="0" t="s">
        <v>16</v>
      </c>
      <c r="F361" s="0" t="n">
        <v>0.08571</v>
      </c>
      <c r="G361" s="0" t="s">
        <v>15</v>
      </c>
      <c r="H361" s="0" t="n">
        <v>0.852</v>
      </c>
      <c r="I361" s="0" t="s">
        <v>16</v>
      </c>
      <c r="J361" s="0" t="n">
        <v>0.394</v>
      </c>
      <c r="K361" s="0" t="s">
        <v>0</v>
      </c>
    </row>
    <row r="362" customFormat="false" ht="12.8" hidden="false" customHeight="false" outlineLevel="0" collapsed="false">
      <c r="A362" s="0" t="s">
        <v>17</v>
      </c>
      <c r="B362" s="0" t="n">
        <v>54476</v>
      </c>
      <c r="C362" s="0" t="s">
        <v>15</v>
      </c>
    </row>
    <row r="363" customFormat="false" ht="12.8" hidden="false" customHeight="false" outlineLevel="0" collapsed="false">
      <c r="A363" s="0" t="s">
        <v>19</v>
      </c>
      <c r="B363" s="0" t="n">
        <v>0.9398</v>
      </c>
      <c r="C363" s="0" t="s">
        <v>20</v>
      </c>
    </row>
    <row r="364" customFormat="false" ht="12.8" hidden="false" customHeight="false" outlineLevel="0" collapsed="false">
      <c r="A364" s="0" t="s">
        <v>19</v>
      </c>
      <c r="B364" s="0" t="n">
        <v>0.04658</v>
      </c>
      <c r="C364" s="0" t="s">
        <v>20</v>
      </c>
    </row>
    <row r="368" customFormat="false" ht="12.8" hidden="false" customHeight="false" outlineLevel="0" collapsed="false">
      <c r="A368" s="0" t="s">
        <v>5</v>
      </c>
    </row>
    <row r="369" customFormat="false" ht="12.8" hidden="false" customHeight="false" outlineLevel="0" collapsed="false">
      <c r="A369" s="0" t="s">
        <v>45</v>
      </c>
      <c r="B369" s="0" t="n">
        <v>24</v>
      </c>
      <c r="C369" s="0" t="s">
        <v>29</v>
      </c>
      <c r="D369" s="0" t="s">
        <v>8</v>
      </c>
    </row>
    <row r="370" customFormat="false" ht="12.8" hidden="false" customHeight="false" outlineLevel="0" collapsed="false">
      <c r="A370" s="0" t="s">
        <v>9</v>
      </c>
    </row>
    <row r="371" customFormat="false" ht="12.8" hidden="false" customHeight="false" outlineLevel="0" collapsed="false">
      <c r="A371" s="0" t="s">
        <v>11</v>
      </c>
    </row>
    <row r="372" customFormat="false" ht="12.8" hidden="false" customHeight="false" outlineLevel="0" collapsed="false">
      <c r="A372" s="0" t="s">
        <v>12</v>
      </c>
      <c r="B372" s="0" t="n">
        <v>24</v>
      </c>
      <c r="C372" s="0" t="s">
        <v>13</v>
      </c>
      <c r="D372" s="0" t="n">
        <v>0.04804</v>
      </c>
      <c r="E372" s="0" t="s">
        <v>16</v>
      </c>
      <c r="F372" s="0" t="n">
        <v>0.05113</v>
      </c>
      <c r="G372" s="0" t="s">
        <v>14</v>
      </c>
      <c r="H372" s="0" t="n">
        <v>0.94</v>
      </c>
      <c r="I372" s="0" t="s">
        <v>16</v>
      </c>
      <c r="J372" s="0" t="n">
        <v>0.347</v>
      </c>
      <c r="K372" s="0" t="s">
        <v>0</v>
      </c>
    </row>
    <row r="373" customFormat="false" ht="12.8" hidden="false" customHeight="false" outlineLevel="0" collapsed="false">
      <c r="A373" s="0" t="s">
        <v>17</v>
      </c>
      <c r="B373" s="0" t="n">
        <v>54476</v>
      </c>
      <c r="C373" s="0" t="s">
        <v>15</v>
      </c>
    </row>
    <row r="374" customFormat="false" ht="12.8" hidden="false" customHeight="false" outlineLevel="0" collapsed="false">
      <c r="A374" s="0" t="s">
        <v>19</v>
      </c>
      <c r="B374" s="0" t="n">
        <v>0.9045</v>
      </c>
      <c r="C374" s="0" t="s">
        <v>20</v>
      </c>
    </row>
    <row r="375" customFormat="false" ht="12.8" hidden="false" customHeight="false" outlineLevel="0" collapsed="false">
      <c r="A375" s="0" t="s">
        <v>19</v>
      </c>
      <c r="B375" s="0" t="n">
        <v>0.04657</v>
      </c>
      <c r="C375" s="0" t="s">
        <v>20</v>
      </c>
    </row>
    <row r="379" customFormat="false" ht="12.8" hidden="false" customHeight="false" outlineLevel="0" collapsed="false">
      <c r="A379" s="0" t="s">
        <v>5</v>
      </c>
    </row>
    <row r="380" customFormat="false" ht="12.8" hidden="false" customHeight="false" outlineLevel="0" collapsed="false">
      <c r="A380" s="0" t="s">
        <v>46</v>
      </c>
      <c r="B380" s="0" t="n">
        <v>24</v>
      </c>
      <c r="C380" s="0" t="s">
        <v>29</v>
      </c>
      <c r="D380" s="0" t="s">
        <v>8</v>
      </c>
    </row>
    <row r="381" customFormat="false" ht="12.8" hidden="false" customHeight="false" outlineLevel="0" collapsed="false">
      <c r="A381" s="0" t="s">
        <v>9</v>
      </c>
    </row>
    <row r="382" customFormat="false" ht="12.8" hidden="false" customHeight="false" outlineLevel="0" collapsed="false">
      <c r="A382" s="0" t="s">
        <v>38</v>
      </c>
    </row>
    <row r="383" customFormat="false" ht="12.8" hidden="false" customHeight="false" outlineLevel="0" collapsed="false">
      <c r="A383" s="0" t="s">
        <v>12</v>
      </c>
      <c r="B383" s="0" t="n">
        <v>24</v>
      </c>
      <c r="C383" s="0" t="s">
        <v>13</v>
      </c>
      <c r="D383" s="0" t="n">
        <v>0.007088</v>
      </c>
      <c r="E383" s="0" t="s">
        <v>14</v>
      </c>
      <c r="F383" s="0" t="n">
        <v>0.032938</v>
      </c>
      <c r="G383" s="0" t="s">
        <v>15</v>
      </c>
      <c r="H383" s="0" t="n">
        <v>0.215</v>
      </c>
      <c r="I383" s="0" t="s">
        <v>25</v>
      </c>
      <c r="J383" s="0" t="n">
        <v>0.83</v>
      </c>
      <c r="K383" s="0" t="s">
        <v>0</v>
      </c>
    </row>
    <row r="384" customFormat="false" ht="12.8" hidden="false" customHeight="false" outlineLevel="0" collapsed="false">
      <c r="A384" s="0" t="s">
        <v>17</v>
      </c>
      <c r="B384" s="0" t="n">
        <v>54476</v>
      </c>
      <c r="C384" s="0" t="s">
        <v>15</v>
      </c>
    </row>
    <row r="385" customFormat="false" ht="12.8" hidden="false" customHeight="false" outlineLevel="0" collapsed="false">
      <c r="A385" s="0" t="s">
        <v>19</v>
      </c>
      <c r="B385" s="0" t="n">
        <v>0.9327</v>
      </c>
      <c r="C385" s="0" t="s">
        <v>20</v>
      </c>
    </row>
    <row r="386" customFormat="false" ht="12.8" hidden="false" customHeight="false" outlineLevel="0" collapsed="false">
      <c r="A386" s="0" t="s">
        <v>19</v>
      </c>
      <c r="B386" s="0" t="n">
        <v>0.04659</v>
      </c>
      <c r="C386" s="0" t="s">
        <v>20</v>
      </c>
    </row>
    <row r="390" customFormat="false" ht="12.8" hidden="false" customHeight="false" outlineLevel="0" collapsed="false">
      <c r="A390" s="0" t="s">
        <v>5</v>
      </c>
    </row>
    <row r="391" customFormat="false" ht="12.8" hidden="false" customHeight="false" outlineLevel="0" collapsed="false">
      <c r="A391" s="0" t="s">
        <v>47</v>
      </c>
      <c r="B391" s="0" t="n">
        <v>24</v>
      </c>
      <c r="C391" s="0" t="s">
        <v>29</v>
      </c>
      <c r="D391" s="0" t="s">
        <v>8</v>
      </c>
    </row>
    <row r="392" customFormat="false" ht="12.8" hidden="false" customHeight="false" outlineLevel="0" collapsed="false">
      <c r="A392" s="0" t="s">
        <v>9</v>
      </c>
    </row>
    <row r="393" customFormat="false" ht="12.8" hidden="false" customHeight="false" outlineLevel="0" collapsed="false">
      <c r="A393" s="0" t="s">
        <v>11</v>
      </c>
    </row>
    <row r="394" customFormat="false" ht="12.8" hidden="false" customHeight="false" outlineLevel="0" collapsed="false">
      <c r="A394" s="0" t="s">
        <v>12</v>
      </c>
      <c r="B394" s="0" t="n">
        <v>24</v>
      </c>
      <c r="C394" s="0" t="s">
        <v>48</v>
      </c>
      <c r="D394" s="0" t="n">
        <v>0.5944</v>
      </c>
      <c r="E394" s="0" t="s">
        <v>25</v>
      </c>
      <c r="F394" s="0" t="n">
        <v>4.2234</v>
      </c>
      <c r="G394" s="0" t="s">
        <v>14</v>
      </c>
      <c r="H394" s="0" t="n">
        <v>0.141</v>
      </c>
      <c r="I394" s="0" t="s">
        <v>16</v>
      </c>
      <c r="J394" s="0" t="n">
        <v>0.888</v>
      </c>
      <c r="K394" s="0" t="s">
        <v>0</v>
      </c>
    </row>
    <row r="395" customFormat="false" ht="12.8" hidden="false" customHeight="false" outlineLevel="0" collapsed="false">
      <c r="A395" s="0" t="s">
        <v>17</v>
      </c>
      <c r="B395" s="0" t="n">
        <v>53568</v>
      </c>
      <c r="C395" s="0" t="s">
        <v>15</v>
      </c>
    </row>
    <row r="396" customFormat="false" ht="12.8" hidden="false" customHeight="false" outlineLevel="0" collapsed="false">
      <c r="A396" s="0" t="s">
        <v>19</v>
      </c>
      <c r="B396" s="0" t="n">
        <v>0.9318</v>
      </c>
      <c r="C396" s="0" t="s">
        <v>20</v>
      </c>
    </row>
    <row r="397" customFormat="false" ht="12.8" hidden="false" customHeight="false" outlineLevel="0" collapsed="false">
      <c r="A397" s="0" t="s">
        <v>19</v>
      </c>
      <c r="B397" s="0" t="n">
        <v>0.04738</v>
      </c>
      <c r="C397" s="0" t="s">
        <v>20</v>
      </c>
    </row>
    <row r="401" customFormat="false" ht="12.8" hidden="false" customHeight="false" outlineLevel="0" collapsed="false">
      <c r="A401" s="0" t="s">
        <v>5</v>
      </c>
    </row>
    <row r="402" customFormat="false" ht="12.8" hidden="false" customHeight="false" outlineLevel="0" collapsed="false">
      <c r="A402" s="0" t="s">
        <v>50</v>
      </c>
      <c r="B402" s="0" t="n">
        <v>24</v>
      </c>
      <c r="C402" s="0" t="s">
        <v>29</v>
      </c>
      <c r="D402" s="0" t="s">
        <v>8</v>
      </c>
    </row>
    <row r="403" customFormat="false" ht="12.8" hidden="false" customHeight="false" outlineLevel="0" collapsed="false">
      <c r="A403" s="0" t="s">
        <v>9</v>
      </c>
    </row>
    <row r="404" customFormat="false" ht="12.8" hidden="false" customHeight="false" outlineLevel="0" collapsed="false">
      <c r="A404" s="0" t="s">
        <v>60</v>
      </c>
    </row>
    <row r="405" customFormat="false" ht="12.8" hidden="false" customHeight="false" outlineLevel="0" collapsed="false">
      <c r="A405" s="0" t="s">
        <v>12</v>
      </c>
      <c r="B405" s="0" t="n">
        <v>24</v>
      </c>
      <c r="C405" s="0" t="s">
        <v>48</v>
      </c>
      <c r="D405" s="0" t="n">
        <v>5.402</v>
      </c>
      <c r="E405" s="0" t="s">
        <v>49</v>
      </c>
      <c r="F405" s="0" t="n">
        <v>2.658</v>
      </c>
      <c r="G405" s="0" t="s">
        <v>15</v>
      </c>
      <c r="H405" s="0" t="n">
        <v>2.033</v>
      </c>
      <c r="I405" s="0" t="s">
        <v>14</v>
      </c>
      <c r="J405" s="0" t="n">
        <v>0.0421</v>
      </c>
      <c r="K405" s="0" t="s">
        <v>59</v>
      </c>
    </row>
    <row r="406" customFormat="false" ht="12.8" hidden="false" customHeight="false" outlineLevel="0" collapsed="false">
      <c r="A406" s="0" t="s">
        <v>17</v>
      </c>
      <c r="B406" s="0" t="n">
        <v>53568</v>
      </c>
      <c r="C406" s="0" t="s">
        <v>15</v>
      </c>
    </row>
    <row r="407" customFormat="false" ht="12.8" hidden="false" customHeight="false" outlineLevel="0" collapsed="false">
      <c r="A407" s="0" t="s">
        <v>19</v>
      </c>
      <c r="B407" s="0" t="n">
        <v>0.8856</v>
      </c>
      <c r="C407" s="0" t="s">
        <v>20</v>
      </c>
    </row>
    <row r="408" customFormat="false" ht="12.8" hidden="false" customHeight="false" outlineLevel="0" collapsed="false">
      <c r="A408" s="0" t="s">
        <v>19</v>
      </c>
      <c r="B408" s="0" t="n">
        <v>0.0473</v>
      </c>
      <c r="C408" s="0" t="s">
        <v>20</v>
      </c>
    </row>
    <row r="412" customFormat="false" ht="12.8" hidden="false" customHeight="false" outlineLevel="0" collapsed="false">
      <c r="A412" s="0" t="s">
        <v>5</v>
      </c>
    </row>
    <row r="413" customFormat="false" ht="12.8" hidden="false" customHeight="false" outlineLevel="0" collapsed="false">
      <c r="A413" s="0" t="s">
        <v>52</v>
      </c>
      <c r="B413" s="0" t="n">
        <v>24</v>
      </c>
      <c r="C413" s="0" t="s">
        <v>29</v>
      </c>
      <c r="D413" s="0" t="s">
        <v>8</v>
      </c>
    </row>
    <row r="414" customFormat="false" ht="12.8" hidden="false" customHeight="false" outlineLevel="0" collapsed="false">
      <c r="A414" s="0" t="s">
        <v>9</v>
      </c>
    </row>
    <row r="415" customFormat="false" ht="12.8" hidden="false" customHeight="false" outlineLevel="0" collapsed="false">
      <c r="A415" s="0" t="s">
        <v>11</v>
      </c>
    </row>
    <row r="416" customFormat="false" ht="12.8" hidden="false" customHeight="false" outlineLevel="0" collapsed="false">
      <c r="A416" s="0" t="s">
        <v>12</v>
      </c>
      <c r="B416" s="0" t="n">
        <v>24</v>
      </c>
      <c r="C416" s="0" t="s">
        <v>48</v>
      </c>
      <c r="D416" s="0" t="n">
        <v>0.4661</v>
      </c>
      <c r="E416" s="0" t="s">
        <v>25</v>
      </c>
      <c r="F416" s="0" t="n">
        <v>4.2306</v>
      </c>
      <c r="G416" s="0" t="s">
        <v>16</v>
      </c>
      <c r="H416" s="0" t="n">
        <v>0.11</v>
      </c>
      <c r="I416" s="0" t="s">
        <v>16</v>
      </c>
      <c r="J416" s="0" t="n">
        <v>0.912</v>
      </c>
      <c r="K416" s="0" t="s">
        <v>0</v>
      </c>
    </row>
    <row r="417" customFormat="false" ht="12.8" hidden="false" customHeight="false" outlineLevel="0" collapsed="false">
      <c r="A417" s="0" t="s">
        <v>17</v>
      </c>
      <c r="B417" s="0" t="n">
        <v>53568</v>
      </c>
      <c r="C417" s="0" t="s">
        <v>15</v>
      </c>
    </row>
    <row r="418" customFormat="false" ht="12.8" hidden="false" customHeight="false" outlineLevel="0" collapsed="false">
      <c r="A418" s="0" t="s">
        <v>19</v>
      </c>
      <c r="B418" s="0" t="n">
        <v>0.9307</v>
      </c>
      <c r="C418" s="0" t="s">
        <v>20</v>
      </c>
    </row>
    <row r="419" customFormat="false" ht="12.8" hidden="false" customHeight="false" outlineLevel="0" collapsed="false">
      <c r="A419" s="0" t="s">
        <v>19</v>
      </c>
      <c r="B419" s="0" t="n">
        <v>0.04738</v>
      </c>
      <c r="C419" s="0" t="s">
        <v>20</v>
      </c>
    </row>
    <row r="423" customFormat="false" ht="12.8" hidden="false" customHeight="false" outlineLevel="0" collapsed="false">
      <c r="A423" s="0" t="s">
        <v>5</v>
      </c>
    </row>
    <row r="424" customFormat="false" ht="12.8" hidden="false" customHeight="false" outlineLevel="0" collapsed="false">
      <c r="A424" s="0" t="s">
        <v>53</v>
      </c>
      <c r="B424" s="0" t="n">
        <v>24</v>
      </c>
      <c r="C424" s="0" t="s">
        <v>29</v>
      </c>
      <c r="D424" s="0" t="s">
        <v>8</v>
      </c>
    </row>
    <row r="425" customFormat="false" ht="12.8" hidden="false" customHeight="false" outlineLevel="0" collapsed="false">
      <c r="A425" s="0" t="s">
        <v>9</v>
      </c>
    </row>
    <row r="426" customFormat="false" ht="12.8" hidden="false" customHeight="false" outlineLevel="0" collapsed="false">
      <c r="A426" s="0" t="s">
        <v>60</v>
      </c>
    </row>
    <row r="427" customFormat="false" ht="12.8" hidden="false" customHeight="false" outlineLevel="0" collapsed="false">
      <c r="A427" s="0" t="s">
        <v>12</v>
      </c>
      <c r="B427" s="0" t="n">
        <v>24</v>
      </c>
      <c r="C427" s="0" t="s">
        <v>48</v>
      </c>
      <c r="D427" s="0" t="n">
        <v>5.302</v>
      </c>
      <c r="E427" s="0" t="s">
        <v>49</v>
      </c>
      <c r="F427" s="0" t="n">
        <v>2.613</v>
      </c>
      <c r="G427" s="0" t="s">
        <v>15</v>
      </c>
      <c r="H427" s="0" t="n">
        <v>2.029</v>
      </c>
      <c r="I427" s="0" t="s">
        <v>14</v>
      </c>
      <c r="J427" s="0" t="n">
        <v>0.0424</v>
      </c>
      <c r="K427" s="0" t="s">
        <v>59</v>
      </c>
    </row>
    <row r="428" customFormat="false" ht="12.8" hidden="false" customHeight="false" outlineLevel="0" collapsed="false">
      <c r="A428" s="0" t="s">
        <v>17</v>
      </c>
      <c r="B428" s="0" t="n">
        <v>53568</v>
      </c>
      <c r="C428" s="0" t="s">
        <v>15</v>
      </c>
    </row>
    <row r="429" customFormat="false" ht="12.8" hidden="false" customHeight="false" outlineLevel="0" collapsed="false">
      <c r="A429" s="0" t="s">
        <v>19</v>
      </c>
      <c r="B429" s="0" t="n">
        <v>0.8879</v>
      </c>
      <c r="C429" s="0" t="s">
        <v>20</v>
      </c>
    </row>
    <row r="430" customFormat="false" ht="12.8" hidden="false" customHeight="false" outlineLevel="0" collapsed="false">
      <c r="A430" s="0" t="s">
        <v>19</v>
      </c>
      <c r="B430" s="0" t="n">
        <v>0.0473</v>
      </c>
      <c r="C430" s="0" t="s">
        <v>20</v>
      </c>
    </row>
    <row r="431" customFormat="false" ht="12.8" hidden="false" customHeight="false" outlineLevel="0" collapsed="false">
      <c r="A431" s="0" t="s">
        <v>0</v>
      </c>
    </row>
  </sheetData>
  <mergeCells count="95">
    <mergeCell ref="M3:N3"/>
    <mergeCell ref="O3:P3"/>
    <mergeCell ref="Q3:R3"/>
    <mergeCell ref="L4:L6"/>
    <mergeCell ref="M4:N4"/>
    <mergeCell ref="O4:P4"/>
    <mergeCell ref="Q4:R4"/>
    <mergeCell ref="M5:N5"/>
    <mergeCell ref="O5:P5"/>
    <mergeCell ref="Q5:R5"/>
    <mergeCell ref="L7:L9"/>
    <mergeCell ref="M7:N7"/>
    <mergeCell ref="O7:P7"/>
    <mergeCell ref="Q7:R7"/>
    <mergeCell ref="M8:N8"/>
    <mergeCell ref="O8:P8"/>
    <mergeCell ref="Q8:R8"/>
    <mergeCell ref="L10:L12"/>
    <mergeCell ref="M10:N10"/>
    <mergeCell ref="O10:P10"/>
    <mergeCell ref="Q10:R10"/>
    <mergeCell ref="M11:N11"/>
    <mergeCell ref="O11:P11"/>
    <mergeCell ref="Q11:R11"/>
    <mergeCell ref="L13:L15"/>
    <mergeCell ref="M13:N13"/>
    <mergeCell ref="O13:P13"/>
    <mergeCell ref="Q13:R13"/>
    <mergeCell ref="M14:N14"/>
    <mergeCell ref="O14:P14"/>
    <mergeCell ref="Q14:R14"/>
    <mergeCell ref="L16:L18"/>
    <mergeCell ref="M16:N16"/>
    <mergeCell ref="O16:P16"/>
    <mergeCell ref="Q16:R16"/>
    <mergeCell ref="M17:N17"/>
    <mergeCell ref="O17:P17"/>
    <mergeCell ref="Q17:R17"/>
    <mergeCell ref="L19:L21"/>
    <mergeCell ref="M19:N19"/>
    <mergeCell ref="O19:P19"/>
    <mergeCell ref="Q19:R19"/>
    <mergeCell ref="M20:N20"/>
    <mergeCell ref="O20:P20"/>
    <mergeCell ref="Q20:R20"/>
    <mergeCell ref="L22:L24"/>
    <mergeCell ref="M22:N22"/>
    <mergeCell ref="O22:P22"/>
    <mergeCell ref="Q22:R22"/>
    <mergeCell ref="M23:N23"/>
    <mergeCell ref="O23:P23"/>
    <mergeCell ref="Q23:R23"/>
    <mergeCell ref="L25:L27"/>
    <mergeCell ref="M25:N25"/>
    <mergeCell ref="O25:P25"/>
    <mergeCell ref="Q25:R25"/>
    <mergeCell ref="M26:N26"/>
    <mergeCell ref="O26:P26"/>
    <mergeCell ref="Q26:R26"/>
    <mergeCell ref="L28:L30"/>
    <mergeCell ref="M28:N28"/>
    <mergeCell ref="O28:P28"/>
    <mergeCell ref="Q28:R28"/>
    <mergeCell ref="M29:N29"/>
    <mergeCell ref="O29:P29"/>
    <mergeCell ref="Q29:R29"/>
    <mergeCell ref="L31:L33"/>
    <mergeCell ref="M31:N31"/>
    <mergeCell ref="O31:P31"/>
    <mergeCell ref="Q31:R31"/>
    <mergeCell ref="M32:N32"/>
    <mergeCell ref="O32:P32"/>
    <mergeCell ref="Q32:R32"/>
    <mergeCell ref="L34:L36"/>
    <mergeCell ref="M34:N34"/>
    <mergeCell ref="O34:P34"/>
    <mergeCell ref="Q34:R34"/>
    <mergeCell ref="M35:N35"/>
    <mergeCell ref="O35:P35"/>
    <mergeCell ref="Q35:R35"/>
    <mergeCell ref="L37:L39"/>
    <mergeCell ref="M37:N37"/>
    <mergeCell ref="O37:P37"/>
    <mergeCell ref="Q37:R37"/>
    <mergeCell ref="M38:N38"/>
    <mergeCell ref="O38:P38"/>
    <mergeCell ref="Q38:R38"/>
    <mergeCell ref="L40:L42"/>
    <mergeCell ref="M40:N40"/>
    <mergeCell ref="O40:P40"/>
    <mergeCell ref="Q40:R40"/>
    <mergeCell ref="M41:N41"/>
    <mergeCell ref="O41:P41"/>
    <mergeCell ref="Q41:R41"/>
    <mergeCell ref="L43:R43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2017-06-11T21:07:30Z</dcterms:modified>
  <cp:revision>1</cp:revision>
  <dc:subject/>
  <dc:title/>
</cp:coreProperties>
</file>